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6 Budget Highest Level" sheetId="1" state="visible" r:id="rId1"/>
    <sheet xmlns:r="http://schemas.openxmlformats.org/officeDocument/2006/relationships" name="YTD vs Budget" sheetId="2" state="visible" r:id="rId2"/>
    <sheet xmlns:r="http://schemas.openxmlformats.org/officeDocument/2006/relationships" name="Compensation Math" sheetId="3" state="visible" r:id="rId3"/>
    <sheet xmlns:r="http://schemas.openxmlformats.org/officeDocument/2006/relationships" name="FY26 Bloom PNL" sheetId="4" state="visible" r:id="rId4"/>
    <sheet xmlns:r="http://schemas.openxmlformats.org/officeDocument/2006/relationships" name="FY26 Events PNL" sheetId="5" state="visible" r:id="rId5"/>
    <sheet xmlns:r="http://schemas.openxmlformats.org/officeDocument/2006/relationships" name="FY26 IP PNL" sheetId="6" state="visible" r:id="rId6"/>
    <sheet xmlns:r="http://schemas.openxmlformats.org/officeDocument/2006/relationships" name="FY26 RECs PNL" sheetId="7" state="visible" r:id="rId7"/>
    <sheet xmlns:r="http://schemas.openxmlformats.org/officeDocument/2006/relationships" name="FY26 Admin PNL" sheetId="8" state="visible" r:id="rId8"/>
    <sheet xmlns:r="http://schemas.openxmlformats.org/officeDocument/2006/relationships" name="Income Math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Review Proc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0.0%;(0.0%);&quot;-&quot;"/>
    <numFmt numFmtId="166" formatCode="$#,##0"/>
    <numFmt numFmtId="167" formatCode="$#,##0;($#,##0);&quot;-&quot;"/>
  </numFmts>
  <fonts count="1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i val="1"/>
    </font>
    <font>
      <b val="1"/>
      <color rgb="00FFFFFF"/>
    </font>
    <font>
      <color rgb="000000FF"/>
    </font>
    <font>
      <b val="1"/>
    </font>
    <font>
      <b val="1"/>
      <color rgb="0027AE60"/>
      <sz val="14"/>
    </font>
    <font>
      <b val="1"/>
      <sz val="12"/>
    </font>
    <font/>
    <font>
      <b val="1"/>
      <color rgb="0027AE60"/>
    </font>
    <font>
      <i val="1"/>
      <sz val="11"/>
    </font>
    <font>
      <b val="1"/>
      <color rgb="0027AE60"/>
      <sz val="12"/>
    </font>
    <font>
      <b val="1"/>
      <color rgb="00C0392B"/>
      <sz val="12"/>
    </font>
  </fonts>
  <fills count="6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64" fontId="8" fillId="0" borderId="0" pivotButton="0" quotePrefix="0" xfId="0"/>
    <xf numFmtId="166" fontId="5" fillId="0" borderId="0" pivotButton="0" quotePrefix="0" xfId="0"/>
    <xf numFmtId="165" fontId="0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7" fontId="0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7" fontId="8" fillId="0" borderId="0" pivotButton="0" quotePrefix="0" xfId="0"/>
    <xf numFmtId="167" fontId="12" fillId="0" borderId="0" pivotButton="0" quotePrefix="0" xfId="0"/>
    <xf numFmtId="165" fontId="8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FY26 Revenue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'Dashboard'!$A$6:$A$12</f>
            </numRef>
          </cat>
          <val>
            <numRef>
              <f>'Dashboard'!$B$6:$B$12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'Dashboard'!$A$18:$A$22</f>
            </numRef>
          </cat>
          <val>
            <numRef>
              <f>'Dashboard'!$B$18:$B$22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Income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Actual vs Q1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'Dashboard'!$A$37:$A$41</f>
            </numRef>
          </cat>
          <val>
            <numRef>
              <f>'Dashboard'!$B$37:$B$41</f>
            </numRef>
          </val>
        </ser>
        <ser>
          <idx val="1"/>
          <order val="1"/>
          <tx>
            <strRef>
              <f>'Dashboard'!C36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'Dashboard'!$A$37:$A$41</f>
            </numRef>
          </cat>
          <val>
            <numRef>
              <f>'Dashboard'!$C$37:$C$41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</cols>
  <sheetData>
    <row r="1">
      <c r="A1" s="1" t="inlineStr">
        <is>
          <t>Blue Drop</t>
        </is>
      </c>
    </row>
    <row r="2">
      <c r="A2" s="2" t="inlineStr">
        <is>
          <t>Budget FY26</t>
        </is>
      </c>
    </row>
    <row r="3">
      <c r="A3" s="3" t="inlineStr">
        <is>
          <t>October 2025 - September 2026</t>
        </is>
      </c>
    </row>
    <row r="5">
      <c r="A5" s="4" t="inlineStr">
        <is>
          <t>Revenue</t>
        </is>
      </c>
      <c r="B5" s="4" t="inlineStr">
        <is>
          <t>Total</t>
        </is>
      </c>
      <c r="C5" s="4" t="inlineStr">
        <is>
          <t>Notes</t>
        </is>
      </c>
    </row>
    <row r="6">
      <c r="A6" t="inlineStr">
        <is>
          <t>Bloom Sales</t>
        </is>
      </c>
      <c r="B6" s="5" t="n">
        <v>425000</v>
      </c>
      <c r="C6" t="inlineStr">
        <is>
          <t>Bloom Sales</t>
        </is>
      </c>
    </row>
    <row r="7">
      <c r="A7" t="inlineStr">
        <is>
          <t>Bloom Deliveries</t>
        </is>
      </c>
      <c r="B7" s="5" t="n">
        <v>125000</v>
      </c>
      <c r="C7" t="inlineStr">
        <is>
          <t>Payment for deliveries from Bloom customers</t>
        </is>
      </c>
    </row>
    <row r="8">
      <c r="A8" t="inlineStr">
        <is>
          <t>Bloom Hauling - DC Water</t>
        </is>
      </c>
      <c r="B8" s="5" t="n">
        <v>1501808.37</v>
      </c>
      <c r="C8" t="inlineStr">
        <is>
          <t>DC reimbursing for customer deliveries &amp; Kiser</t>
        </is>
      </c>
    </row>
    <row r="9">
      <c r="A9" t="inlineStr">
        <is>
          <t>Bloom - DC Water Marketing Fee</t>
        </is>
      </c>
      <c r="B9" s="5" t="n">
        <v>1054130</v>
      </c>
      <c r="C9" t="inlineStr">
        <is>
          <t>Includes Admin, Marketing, Sales Staff</t>
        </is>
      </c>
    </row>
    <row r="10">
      <c r="A10" t="inlineStr">
        <is>
          <t>Land App/Storage</t>
        </is>
      </c>
      <c r="B10" s="5" t="n">
        <v>749000</v>
      </c>
      <c r="C10" t="inlineStr">
        <is>
          <t>Kiser and AmerEQ reimbursement</t>
        </is>
      </c>
    </row>
    <row r="11">
      <c r="A11" t="inlineStr">
        <is>
          <t>Event Rental Revenue</t>
        </is>
      </c>
      <c r="B11" s="5" t="n">
        <v>696000</v>
      </c>
      <c r="C11" t="inlineStr">
        <is>
          <t>Goal for 52 events</t>
        </is>
      </c>
    </row>
    <row r="12">
      <c r="A12" t="inlineStr">
        <is>
          <t>Products and IP Revenue</t>
        </is>
      </c>
      <c r="B12" s="5" t="n">
        <v>340929</v>
      </c>
      <c r="C12" t="inlineStr">
        <is>
          <t>Based on ARA's annual write ups</t>
        </is>
      </c>
    </row>
    <row r="13">
      <c r="A13" t="inlineStr">
        <is>
          <t>Renewable Energy Income</t>
        </is>
      </c>
      <c r="B13" s="5" t="n">
        <v>4360650</v>
      </c>
      <c r="C13" t="inlineStr">
        <is>
          <t>Based on Chris's estimate</t>
        </is>
      </c>
    </row>
    <row r="14">
      <c r="A14" t="inlineStr">
        <is>
          <t>Solar REC Sales (NEW)</t>
        </is>
      </c>
      <c r="B14" s="5" t="n">
        <v>500000</v>
      </c>
      <c r="C14" t="inlineStr">
        <is>
          <t>New solar REC revenue stream</t>
        </is>
      </c>
    </row>
    <row r="15">
      <c r="A15" t="inlineStr">
        <is>
          <t>Cell Towers</t>
        </is>
      </c>
      <c r="B15" s="5" t="n">
        <v>179971.86</v>
      </c>
      <c r="C15" t="inlineStr">
        <is>
          <t>Based on current agreements</t>
        </is>
      </c>
    </row>
    <row r="16">
      <c r="A16" t="inlineStr">
        <is>
          <t>Merchandise</t>
        </is>
      </c>
      <c r="B16" s="5" t="n">
        <v>2750</v>
      </c>
      <c r="C16" t="inlineStr">
        <is>
          <t>Blue Drop Shop (Books, Mugs, Shirts)</t>
        </is>
      </c>
    </row>
    <row r="17">
      <c r="A17" t="inlineStr">
        <is>
          <t>Interest and Other</t>
        </is>
      </c>
      <c r="B17" s="5" t="n">
        <v>290000</v>
      </c>
      <c r="C17" t="inlineStr">
        <is>
          <t>Interest Rates and etc.</t>
        </is>
      </c>
    </row>
    <row r="18">
      <c r="A18" s="6" t="inlineStr">
        <is>
          <t>Total Revenue</t>
        </is>
      </c>
      <c r="B18" s="7">
        <f>SUM(B6:B17)</f>
        <v/>
      </c>
    </row>
    <row r="20">
      <c r="A20" s="4" t="inlineStr">
        <is>
          <t>Operating Expenditures</t>
        </is>
      </c>
      <c r="B20" s="4" t="inlineStr">
        <is>
          <t>Total</t>
        </is>
      </c>
      <c r="C20" s="4" t="inlineStr">
        <is>
          <t>Notes</t>
        </is>
      </c>
    </row>
    <row r="21">
      <c r="A21" t="inlineStr">
        <is>
          <t>Cost of Goods Sold</t>
        </is>
      </c>
      <c r="B21" s="5" t="n">
        <v>2929949.6</v>
      </c>
      <c r="C21" t="inlineStr">
        <is>
          <t>Hauling costs, Blending material, REC brokers, IP royalty payouts</t>
        </is>
      </c>
    </row>
    <row r="22">
      <c r="A22" t="inlineStr">
        <is>
          <t>Compensation</t>
        </is>
      </c>
      <c r="B22" s="5" t="n">
        <v>1085150.63</v>
      </c>
      <c r="C22" t="inlineStr">
        <is>
          <t>See Compensation Math tab</t>
        </is>
      </c>
    </row>
    <row r="23">
      <c r="A23" t="inlineStr">
        <is>
          <t>Professional Fees</t>
        </is>
      </c>
      <c r="B23" s="5" t="n">
        <v>1044825.5</v>
      </c>
      <c r="C23" t="inlineStr">
        <is>
          <t>Legal, Audit, Accounting, IT, HR, Consulting</t>
        </is>
      </c>
    </row>
    <row r="24">
      <c r="A24" t="inlineStr">
        <is>
          <t>Travel</t>
        </is>
      </c>
      <c r="B24" s="5" t="n">
        <v>11800</v>
      </c>
      <c r="C24" t="inlineStr">
        <is>
          <t>Transportation, Lodging, Per Diem, Mileage</t>
        </is>
      </c>
    </row>
    <row r="25">
      <c r="A25" t="inlineStr">
        <is>
          <t>Administration</t>
        </is>
      </c>
      <c r="B25" s="5" t="n">
        <v>367823.78</v>
      </c>
      <c r="C25" t="inlineStr">
        <is>
          <t>Office, Utilities, Insurance, Marketing</t>
        </is>
      </c>
    </row>
    <row r="26">
      <c r="A26" t="inlineStr">
        <is>
          <t>Tax License &amp; Insurance</t>
        </is>
      </c>
      <c r="B26" s="5" t="n">
        <v>43925</v>
      </c>
      <c r="C26" t="inlineStr">
        <is>
          <t>Business licenses and insurance</t>
        </is>
      </c>
    </row>
    <row r="27">
      <c r="A27" t="inlineStr">
        <is>
          <t>Marketing</t>
        </is>
      </c>
      <c r="B27" s="5" t="n">
        <v>61000</v>
      </c>
      <c r="C27" t="inlineStr">
        <is>
          <t>Marketing and promotional expenses</t>
        </is>
      </c>
    </row>
    <row r="28">
      <c r="A28" t="inlineStr">
        <is>
          <t>Interest and Fees</t>
        </is>
      </c>
      <c r="B28" s="5" t="n">
        <v>2000</v>
      </c>
      <c r="C28" t="inlineStr">
        <is>
          <t>Bank fees and interest</t>
        </is>
      </c>
    </row>
    <row r="29">
      <c r="A29" s="6" t="inlineStr">
        <is>
          <t>Total Operation Expenditures</t>
        </is>
      </c>
      <c r="B29" s="7">
        <f>SUM(B21:B28)</f>
        <v/>
      </c>
    </row>
    <row r="31">
      <c r="A31" s="2" t="inlineStr">
        <is>
          <t>Net Profit</t>
        </is>
      </c>
      <c r="B31" s="8">
        <f>B18-B29</f>
        <v/>
      </c>
    </row>
    <row r="33">
      <c r="A33" s="6" t="inlineStr">
        <is>
          <t>Total Capital Expenditures</t>
        </is>
      </c>
      <c r="B33" s="5" t="n">
        <v>500000</v>
      </c>
      <c r="C33" t="inlineStr">
        <is>
          <t>Purchase of land and capital improvements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4" customWidth="1" min="4" max="4"/>
    <col width="14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FY26 YTD Performance vs Budget</t>
        </is>
      </c>
    </row>
    <row r="2">
      <c r="A2" s="19" t="inlineStr">
        <is>
          <t>As of January 19, 2026 (Q1 + 19 days of Q2)</t>
        </is>
      </c>
    </row>
    <row r="4">
      <c r="A4" t="inlineStr">
        <is>
          <t>Budget Period:</t>
        </is>
      </c>
      <c r="B4" t="inlineStr">
        <is>
          <t>Q1 (25% of Annual)</t>
        </is>
      </c>
    </row>
    <row r="5">
      <c r="A5" t="inlineStr">
        <is>
          <t>Actual Period:</t>
        </is>
      </c>
      <c r="B5" t="inlineStr">
        <is>
          <t>Oct 1, 2025 - Jan 19, 2026</t>
        </is>
      </c>
    </row>
    <row r="6">
      <c r="A6" t="inlineStr">
        <is>
          <t>Days in FY26:</t>
        </is>
      </c>
      <c r="B6" t="n">
        <v>111</v>
      </c>
      <c r="C6" t="inlineStr">
        <is>
          <t>of 365 (30.4%)</t>
        </is>
      </c>
    </row>
    <row r="8">
      <c r="A8" s="4" t="inlineStr">
        <is>
          <t>Revenue Category</t>
        </is>
      </c>
      <c r="B8" s="4" t="inlineStr">
        <is>
          <t>FY26 Budget</t>
        </is>
      </c>
      <c r="C8" s="4" t="inlineStr">
        <is>
          <t>Q1 Budget (25%)</t>
        </is>
      </c>
      <c r="D8" s="4" t="inlineStr">
        <is>
          <t>YTD Actual</t>
        </is>
      </c>
      <c r="E8" s="4" t="inlineStr">
        <is>
          <t>Variance $</t>
        </is>
      </c>
      <c r="F8" s="4" t="inlineStr">
        <is>
          <t>% of Q1</t>
        </is>
      </c>
      <c r="G8" s="4" t="inlineStr">
        <is>
          <t>Full Year Forecast</t>
        </is>
      </c>
      <c r="H8" s="4" t="inlineStr">
        <is>
          <t>Status</t>
        </is>
      </c>
    </row>
    <row r="9">
      <c r="A9" t="inlineStr">
        <is>
          <t>RECs (Renewable Energy)</t>
        </is>
      </c>
      <c r="B9" s="20" t="n">
        <v>4860650</v>
      </c>
      <c r="C9" s="21">
        <f>B9*0.25</f>
        <v/>
      </c>
      <c r="D9" s="20" t="n">
        <v>2518742</v>
      </c>
      <c r="E9" s="21">
        <f>D9-C9</f>
        <v/>
      </c>
      <c r="F9" s="18">
        <f>IF(C9=0,0,D9/C9)</f>
        <v/>
      </c>
      <c r="G9" s="21">
        <f>D9/$B$6*365</f>
        <v/>
      </c>
      <c r="H9">
        <f>IF(F9&gt;=1,"ON TRACK",IF(F9&gt;=0.8,"MONITOR","UNDER"))</f>
        <v/>
      </c>
    </row>
    <row r="10">
      <c r="A10" t="inlineStr">
        <is>
          <t>Bloom Marketing (DC Water Fees)</t>
        </is>
      </c>
      <c r="B10" s="20" t="n">
        <v>3304938</v>
      </c>
      <c r="C10" s="21">
        <f>B10*0.25</f>
        <v/>
      </c>
      <c r="D10" s="20" t="n">
        <v>261185</v>
      </c>
      <c r="E10" s="21">
        <f>D10-C10</f>
        <v/>
      </c>
      <c r="F10" s="18">
        <f>IF(C10=0,0,D10/C10)</f>
        <v/>
      </c>
      <c r="G10" s="21">
        <f>D10/$B$6*365</f>
        <v/>
      </c>
      <c r="H10">
        <f>IF(F10&gt;=1,"ON TRACK",IF(F10&gt;=0.8,"MONITOR","UNDER"))</f>
        <v/>
      </c>
    </row>
    <row r="11">
      <c r="A11" t="inlineStr">
        <is>
          <t>Bloom Sales</t>
        </is>
      </c>
      <c r="B11" s="20" t="n">
        <v>550000</v>
      </c>
      <c r="C11" s="21">
        <f>B11*0.25</f>
        <v/>
      </c>
      <c r="D11" s="20" t="n">
        <v>90769</v>
      </c>
      <c r="E11" s="21">
        <f>D11-C11</f>
        <v/>
      </c>
      <c r="F11" s="18">
        <f>IF(C11=0,0,D11/C11)</f>
        <v/>
      </c>
      <c r="G11" s="21">
        <f>D11/$B$6*365</f>
        <v/>
      </c>
      <c r="H11">
        <f>IF(F11&gt;=1,"ON TRACK",IF(F11&gt;=0.8,"MONITOR","UNDER"))</f>
        <v/>
      </c>
    </row>
    <row r="12">
      <c r="A12" t="inlineStr">
        <is>
          <t>DC Water IP/Licensing</t>
        </is>
      </c>
      <c r="B12" s="20" t="n">
        <v>340929</v>
      </c>
      <c r="C12" s="21">
        <f>B12*0.25</f>
        <v/>
      </c>
      <c r="D12" s="20" t="n">
        <v>61500</v>
      </c>
      <c r="E12" s="21">
        <f>D12-C12</f>
        <v/>
      </c>
      <c r="F12" s="18">
        <f>IF(C12=0,0,D12/C12)</f>
        <v/>
      </c>
      <c r="G12" s="21">
        <f>D12/$B$6*365</f>
        <v/>
      </c>
      <c r="H12">
        <f>IF(F12&gt;=1,"ON TRACK",IF(F12&gt;=0.8,"MONITOR","UNDER"))</f>
        <v/>
      </c>
    </row>
    <row r="13">
      <c r="A13" t="inlineStr">
        <is>
          <t>Events</t>
        </is>
      </c>
      <c r="B13" s="20" t="n">
        <v>696000</v>
      </c>
      <c r="C13" s="21">
        <f>B13*0.25</f>
        <v/>
      </c>
      <c r="D13" s="20" t="n">
        <v>43299</v>
      </c>
      <c r="E13" s="21">
        <f>D13-C13</f>
        <v/>
      </c>
      <c r="F13" s="18">
        <f>IF(C13=0,0,D13/C13)</f>
        <v/>
      </c>
      <c r="G13" s="21">
        <f>D13/$B$6*365</f>
        <v/>
      </c>
      <c r="H13">
        <f>IF(F13&gt;=1,"ON TRACK",IF(F13&gt;=0.8,"MONITOR","UNDER"))</f>
        <v/>
      </c>
    </row>
    <row r="14">
      <c r="A14" t="inlineStr">
        <is>
          <t>Cell Towers</t>
        </is>
      </c>
      <c r="B14" s="20" t="n">
        <v>179972</v>
      </c>
      <c r="C14" s="21">
        <f>B14*0.25</f>
        <v/>
      </c>
      <c r="D14" s="20" t="n">
        <v>43182</v>
      </c>
      <c r="E14" s="21">
        <f>D14-C14</f>
        <v/>
      </c>
      <c r="F14" s="18">
        <f>IF(C14=0,0,D14/C14)</f>
        <v/>
      </c>
      <c r="G14" s="21">
        <f>D14/$B$6*365</f>
        <v/>
      </c>
      <c r="H14">
        <f>IF(F14&gt;=1,"ON TRACK",IF(F14&gt;=0.8,"MONITOR","UNDER"))</f>
        <v/>
      </c>
    </row>
    <row r="15">
      <c r="A15" t="inlineStr">
        <is>
          <t>Interest Income</t>
        </is>
      </c>
      <c r="B15" s="20" t="n">
        <v>290000</v>
      </c>
      <c r="C15" s="21">
        <f>B15*0.25</f>
        <v/>
      </c>
      <c r="D15" s="20" t="n">
        <v>72048</v>
      </c>
      <c r="E15" s="21">
        <f>D15-C15</f>
        <v/>
      </c>
      <c r="F15" s="18">
        <f>IF(C15=0,0,D15/C15)</f>
        <v/>
      </c>
      <c r="G15" s="21">
        <f>D15/$B$6*365</f>
        <v/>
      </c>
      <c r="H15">
        <f>IF(F15&gt;=1,"ON TRACK",IF(F15&gt;=0.8,"MONITOR","UNDER"))</f>
        <v/>
      </c>
    </row>
    <row r="16">
      <c r="A16" t="inlineStr">
        <is>
          <t>Store/Merchandise</t>
        </is>
      </c>
      <c r="B16" s="20" t="n">
        <v>2750</v>
      </c>
      <c r="C16" s="21">
        <f>B16*0.25</f>
        <v/>
      </c>
      <c r="D16" s="20" t="n">
        <v>0</v>
      </c>
      <c r="E16" s="21">
        <f>D16-C16</f>
        <v/>
      </c>
      <c r="F16" s="18">
        <f>IF(C16=0,0,D16/C16)</f>
        <v/>
      </c>
      <c r="G16" s="21">
        <f>D16/$B$6*365</f>
        <v/>
      </c>
      <c r="H16">
        <f>IF(F16&gt;=1,"ON TRACK",IF(F16&gt;=0.8,"MONITOR","UNDER"))</f>
        <v/>
      </c>
    </row>
    <row r="17">
      <c r="A17" t="inlineStr">
        <is>
          <t>Other Revenue</t>
        </is>
      </c>
      <c r="B17" s="20" t="n">
        <v>0</v>
      </c>
      <c r="C17" s="21">
        <f>B17*0.25</f>
        <v/>
      </c>
      <c r="D17" s="20" t="n">
        <v>30232</v>
      </c>
      <c r="E17" s="21">
        <f>D17-C17</f>
        <v/>
      </c>
      <c r="F17" s="18">
        <f>IF(C17=0,0,D17/C17)</f>
        <v/>
      </c>
      <c r="G17" s="21">
        <f>D17/$B$6*365</f>
        <v/>
      </c>
      <c r="H17">
        <f>IF(F17&gt;=1,"ON TRACK",IF(F17&gt;=0.8,"MONITOR","UNDER"))</f>
        <v/>
      </c>
    </row>
    <row r="18">
      <c r="A18" s="6" t="inlineStr">
        <is>
          <t>TOTAL REVENUE</t>
        </is>
      </c>
      <c r="B18" s="22">
        <f>SUM(B9:B17)</f>
        <v/>
      </c>
      <c r="C18" s="22">
        <f>SUM(C9:C17)</f>
        <v/>
      </c>
      <c r="D18" s="22">
        <f>SUM(D9:D17)</f>
        <v/>
      </c>
      <c r="E18" s="22">
        <f>SUM(E9:E17)</f>
        <v/>
      </c>
      <c r="F18" s="23">
        <f>IF(C18=0,0,D18/C18)</f>
        <v/>
      </c>
      <c r="G18" s="22">
        <f>SUM(G9:G17)</f>
        <v/>
      </c>
      <c r="H18" s="6">
        <f>IF(F18&gt;=1,"ON TRACK",IF(F18&gt;=0.8,"MONITOR","UNDER"))</f>
        <v/>
      </c>
    </row>
    <row r="20">
      <c r="A20" s="4" t="inlineStr">
        <is>
          <t>Expense Category</t>
        </is>
      </c>
      <c r="B20" s="4" t="inlineStr">
        <is>
          <t>FY26 Budget</t>
        </is>
      </c>
      <c r="C20" s="4" t="inlineStr">
        <is>
          <t>Q1 Budget (25%)</t>
        </is>
      </c>
      <c r="D20" s="4" t="inlineStr">
        <is>
          <t>YTD Actual</t>
        </is>
      </c>
      <c r="E20" s="4" t="inlineStr">
        <is>
          <t>Variance $</t>
        </is>
      </c>
      <c r="F20" s="4" t="inlineStr">
        <is>
          <t>% of Q1</t>
        </is>
      </c>
      <c r="G20" s="4" t="inlineStr">
        <is>
          <t>Full Year Forecast</t>
        </is>
      </c>
      <c r="H20" s="4" t="inlineStr">
        <is>
          <t>Status</t>
        </is>
      </c>
    </row>
    <row r="21">
      <c r="A21" t="inlineStr">
        <is>
          <t>Cost of Goods Sold</t>
        </is>
      </c>
      <c r="B21" s="20" t="n">
        <v>2929950</v>
      </c>
      <c r="C21" s="21">
        <f>B21*0.25</f>
        <v/>
      </c>
      <c r="D21" s="20" t="n">
        <v>847286</v>
      </c>
      <c r="E21" s="21">
        <f>D21-C21</f>
        <v/>
      </c>
      <c r="F21" s="18">
        <f>IF(C21=0,0,D21/C21)</f>
        <v/>
      </c>
      <c r="G21" s="21">
        <f>D21/$B$6*365</f>
        <v/>
      </c>
      <c r="H21">
        <f>IF(F21&lt;=1,"FAVORABLE",IF(F21&lt;=1.1,"MONITOR","OVER"))</f>
        <v/>
      </c>
    </row>
    <row r="22">
      <c r="A22" t="inlineStr">
        <is>
          <t>Compensation</t>
        </is>
      </c>
      <c r="B22" s="20" t="n">
        <v>1085151</v>
      </c>
      <c r="C22" s="21">
        <f>B22*0.25</f>
        <v/>
      </c>
      <c r="D22" s="20" t="n">
        <v>229734</v>
      </c>
      <c r="E22" s="21">
        <f>D22-C22</f>
        <v/>
      </c>
      <c r="F22" s="18">
        <f>IF(C22=0,0,D22/C22)</f>
        <v/>
      </c>
      <c r="G22" s="21">
        <f>D22/$B$6*365</f>
        <v/>
      </c>
      <c r="H22">
        <f>IF(F22&lt;=1,"FAVORABLE",IF(F22&lt;=1.1,"MONITOR","OVER"))</f>
        <v/>
      </c>
    </row>
    <row r="23">
      <c r="A23" t="inlineStr">
        <is>
          <t>Professional Fees</t>
        </is>
      </c>
      <c r="B23" s="20" t="n">
        <v>1044826</v>
      </c>
      <c r="C23" s="21">
        <f>B23*0.25</f>
        <v/>
      </c>
      <c r="D23" s="20" t="n">
        <v>68570</v>
      </c>
      <c r="E23" s="21">
        <f>D23-C23</f>
        <v/>
      </c>
      <c r="F23" s="18">
        <f>IF(C23=0,0,D23/C23)</f>
        <v/>
      </c>
      <c r="G23" s="21">
        <f>D23/$B$6*365</f>
        <v/>
      </c>
      <c r="H23">
        <f>IF(F23&lt;=1,"FAVORABLE",IF(F23&lt;=1.1,"MONITOR","OVER"))</f>
        <v/>
      </c>
    </row>
    <row r="24">
      <c r="A24" t="inlineStr">
        <is>
          <t>Travel</t>
        </is>
      </c>
      <c r="B24" s="20" t="n">
        <v>11800</v>
      </c>
      <c r="C24" s="21">
        <f>B24*0.25</f>
        <v/>
      </c>
      <c r="D24" s="20" t="n">
        <v>1250</v>
      </c>
      <c r="E24" s="21">
        <f>D24-C24</f>
        <v/>
      </c>
      <c r="F24" s="18">
        <f>IF(C24=0,0,D24/C24)</f>
        <v/>
      </c>
      <c r="G24" s="21">
        <f>D24/$B$6*365</f>
        <v/>
      </c>
      <c r="H24">
        <f>IF(F24&lt;=1,"FAVORABLE",IF(F24&lt;=1.1,"MONITOR","OVER"))</f>
        <v/>
      </c>
    </row>
    <row r="25">
      <c r="A25" t="inlineStr">
        <is>
          <t>Administration</t>
        </is>
      </c>
      <c r="B25" s="20" t="n">
        <v>367824</v>
      </c>
      <c r="C25" s="21">
        <f>B25*0.25</f>
        <v/>
      </c>
      <c r="D25" s="20" t="n">
        <v>14449</v>
      </c>
      <c r="E25" s="21">
        <f>D25-C25</f>
        <v/>
      </c>
      <c r="F25" s="18">
        <f>IF(C25=0,0,D25/C25)</f>
        <v/>
      </c>
      <c r="G25" s="21">
        <f>D25/$B$6*365</f>
        <v/>
      </c>
      <c r="H25">
        <f>IF(F25&lt;=1,"FAVORABLE",IF(F25&lt;=1.1,"MONITOR","OVER"))</f>
        <v/>
      </c>
    </row>
    <row r="26">
      <c r="A26" t="inlineStr">
        <is>
          <t>Tax/License/Insurance</t>
        </is>
      </c>
      <c r="B26" s="20" t="n">
        <v>43925</v>
      </c>
      <c r="C26" s="21">
        <f>B26*0.25</f>
        <v/>
      </c>
      <c r="D26" s="20" t="n">
        <v>2000</v>
      </c>
      <c r="E26" s="21">
        <f>D26-C26</f>
        <v/>
      </c>
      <c r="F26" s="18">
        <f>IF(C26=0,0,D26/C26)</f>
        <v/>
      </c>
      <c r="G26" s="21">
        <f>D26/$B$6*365</f>
        <v/>
      </c>
      <c r="H26">
        <f>IF(F26&lt;=1,"FAVORABLE",IF(F26&lt;=1.1,"MONITOR","OVER"))</f>
        <v/>
      </c>
    </row>
    <row r="27">
      <c r="A27" t="inlineStr">
        <is>
          <t>Marketing</t>
        </is>
      </c>
      <c r="B27" s="20" t="n">
        <v>61000</v>
      </c>
      <c r="C27" s="21">
        <f>B27*0.25</f>
        <v/>
      </c>
      <c r="D27" s="20" t="n">
        <v>0</v>
      </c>
      <c r="E27" s="21">
        <f>D27-C27</f>
        <v/>
      </c>
      <c r="F27" s="18">
        <f>IF(C27=0,0,D27/C27)</f>
        <v/>
      </c>
      <c r="G27" s="21">
        <f>D27/$B$6*365</f>
        <v/>
      </c>
      <c r="H27">
        <f>IF(F27&lt;=1,"FAVORABLE",IF(F27&lt;=1.1,"MONITOR","OVER"))</f>
        <v/>
      </c>
    </row>
    <row r="28">
      <c r="A28" t="inlineStr">
        <is>
          <t>Interest &amp; Fees</t>
        </is>
      </c>
      <c r="B28" s="20" t="n">
        <v>2000</v>
      </c>
      <c r="C28" s="21">
        <f>B28*0.25</f>
        <v/>
      </c>
      <c r="D28" s="20" t="n">
        <v>0</v>
      </c>
      <c r="E28" s="21">
        <f>D28-C28</f>
        <v/>
      </c>
      <c r="F28" s="18">
        <f>IF(C28=0,0,D28/C28)</f>
        <v/>
      </c>
      <c r="G28" s="21">
        <f>D28/$B$6*365</f>
        <v/>
      </c>
      <c r="H28">
        <f>IF(F28&lt;=1,"FAVORABLE",IF(F28&lt;=1.1,"MONITOR","OVER"))</f>
        <v/>
      </c>
    </row>
    <row r="29">
      <c r="A29" s="6" t="inlineStr">
        <is>
          <t>TOTAL EXPENSES</t>
        </is>
      </c>
      <c r="B29" s="22">
        <f>SUM(B21:B28)</f>
        <v/>
      </c>
      <c r="C29" s="22">
        <f>SUM(C21:C28)</f>
        <v/>
      </c>
      <c r="D29" s="22">
        <f>SUM(D21:D28)</f>
        <v/>
      </c>
      <c r="E29" s="22">
        <f>SUM(E21:E28)</f>
        <v/>
      </c>
      <c r="F29" s="23">
        <f>IF(C29=0,0,D29/C29)</f>
        <v/>
      </c>
      <c r="G29" s="22">
        <f>SUM(G21:G28)</f>
        <v/>
      </c>
      <c r="H29" s="6">
        <f>IF(F29&lt;=1,"FAVORABLE",IF(F29&lt;=1.1,"MONITOR","OVER"))</f>
        <v/>
      </c>
    </row>
    <row r="31">
      <c r="A31" s="12" t="inlineStr">
        <is>
          <t>NET INCOME</t>
        </is>
      </c>
      <c r="B31" s="24">
        <f>B18-B29</f>
        <v/>
      </c>
      <c r="C31" s="24">
        <f>C18-C29</f>
        <v/>
      </c>
      <c r="D31" s="25">
        <f>D18-D29</f>
        <v/>
      </c>
      <c r="E31" s="24">
        <f>E18-E29</f>
        <v/>
      </c>
      <c r="F31" s="26">
        <f>IF(C31=0,0,D31/C31)</f>
        <v/>
      </c>
      <c r="G31" s="24">
        <f>G18-G29</f>
        <v/>
      </c>
    </row>
    <row r="34">
      <c r="A34" s="12" t="inlineStr">
        <is>
          <t>Segment Performance Summary</t>
        </is>
      </c>
    </row>
    <row r="35">
      <c r="A35" s="4" t="inlineStr">
        <is>
          <t>Segment</t>
        </is>
      </c>
      <c r="B35" s="4" t="inlineStr">
        <is>
          <t>YTD Revenue</t>
        </is>
      </c>
      <c r="C35" s="4" t="inlineStr">
        <is>
          <t>YTD Expenses</t>
        </is>
      </c>
      <c r="D35" s="4" t="inlineStr">
        <is>
          <t>YTD Net Income</t>
        </is>
      </c>
      <c r="E35" s="4" t="inlineStr">
        <is>
          <t>% of Total NI</t>
        </is>
      </c>
      <c r="F35" s="4" t="inlineStr">
        <is>
          <t>Status</t>
        </is>
      </c>
    </row>
    <row r="36">
      <c r="A36" t="inlineStr">
        <is>
          <t>RECs</t>
        </is>
      </c>
      <c r="B36" s="20" t="n">
        <v>2518742</v>
      </c>
      <c r="C36" s="20" t="n">
        <v>126094</v>
      </c>
      <c r="D36" s="21">
        <f>B36-C36</f>
        <v/>
      </c>
      <c r="E36" s="18">
        <f>IF($D$31=0,0,D36/$D$31)</f>
        <v/>
      </c>
      <c r="F36" s="27" t="inlineStr">
        <is>
          <t>STRONG</t>
        </is>
      </c>
    </row>
    <row r="37">
      <c r="A37" t="inlineStr">
        <is>
          <t>Bloom Marketing</t>
        </is>
      </c>
      <c r="B37" s="20" t="n">
        <v>261185</v>
      </c>
      <c r="C37" s="20" t="n">
        <v>847351</v>
      </c>
      <c r="D37" s="21">
        <f>B37-C37</f>
        <v/>
      </c>
      <c r="E37" s="18">
        <f>IF($D$31=0,0,D37/$D$31)</f>
        <v/>
      </c>
      <c r="F37" s="28" t="inlineStr">
        <is>
          <t>LOSS</t>
        </is>
      </c>
    </row>
    <row r="38">
      <c r="A38" t="inlineStr">
        <is>
          <t>Bloom Sales</t>
        </is>
      </c>
      <c r="B38" s="20" t="n">
        <v>90769</v>
      </c>
      <c r="C38" s="20" t="n">
        <v>39536</v>
      </c>
      <c r="D38" s="21">
        <f>B38-C38</f>
        <v/>
      </c>
      <c r="E38" s="18">
        <f>IF($D$31=0,0,D38/$D$31)</f>
        <v/>
      </c>
      <c r="F38" s="29" t="inlineStr">
        <is>
          <t>PROFIT</t>
        </is>
      </c>
    </row>
    <row r="39">
      <c r="A39" t="inlineStr">
        <is>
          <t>Events</t>
        </is>
      </c>
      <c r="B39" s="20" t="n">
        <v>43299</v>
      </c>
      <c r="C39" s="20" t="n">
        <v>94123</v>
      </c>
      <c r="D39" s="21">
        <f>B39-C39</f>
        <v/>
      </c>
      <c r="E39" s="18">
        <f>IF($D$31=0,0,D39/$D$31)</f>
        <v/>
      </c>
      <c r="F39" s="28" t="inlineStr">
        <is>
          <t>LOSS</t>
        </is>
      </c>
    </row>
    <row r="40">
      <c r="A40" t="inlineStr">
        <is>
          <t>IP &amp; Products</t>
        </is>
      </c>
      <c r="B40" s="20" t="n">
        <v>61500</v>
      </c>
      <c r="C40" s="20" t="n">
        <v>10000</v>
      </c>
      <c r="D40" s="21">
        <f>B40-C40</f>
        <v/>
      </c>
      <c r="E40" s="18">
        <f>IF($D$31=0,0,D40/$D$31)</f>
        <v/>
      </c>
      <c r="F40" s="29" t="inlineStr">
        <is>
          <t>PROFIT</t>
        </is>
      </c>
    </row>
    <row r="41">
      <c r="A41" t="inlineStr">
        <is>
          <t>Administration</t>
        </is>
      </c>
      <c r="B41" s="20" t="n">
        <v>145230</v>
      </c>
      <c r="C41" s="20" t="n">
        <v>46185</v>
      </c>
      <c r="D41" s="21">
        <f>B41-C41</f>
        <v/>
      </c>
      <c r="E41" s="18">
        <f>IF($D$31=0,0,D41/$D$31)</f>
        <v/>
      </c>
      <c r="F41" s="29" t="inlineStr">
        <is>
          <t>PROFIT</t>
        </is>
      </c>
    </row>
    <row r="42">
      <c r="A42" s="6" t="inlineStr">
        <is>
          <t>TOTAL</t>
        </is>
      </c>
      <c r="B42" s="22">
        <f>SUM(B36:B41)</f>
        <v/>
      </c>
      <c r="C42" s="22">
        <f>SUM(C36:C41)</f>
        <v/>
      </c>
      <c r="D42" s="22">
        <f>SUM(D36:D41)</f>
        <v/>
      </c>
      <c r="E42" s="23">
        <f>SUM(E36:E41)</f>
        <v/>
      </c>
    </row>
    <row r="45">
      <c r="A45" s="30" t="inlineStr">
        <is>
          <t>Key Variances Requiring Board Attention</t>
        </is>
      </c>
    </row>
    <row r="46">
      <c r="A46" t="inlineStr">
        <is>
          <t>1. Bloom Marketing segment losing $586K YTD despite $261K revenue - hauling COGS issue</t>
        </is>
      </c>
    </row>
    <row r="47">
      <c r="A47" t="inlineStr">
        <is>
          <t>2. Events at 24% of Q1 target (3-4 events vs 13 budgeted) - pipeline review needed</t>
        </is>
      </c>
    </row>
    <row r="48">
      <c r="A48" t="inlineStr">
        <is>
          <t>3. RECs significantly outperforming - $2.52M YTD vs $1.22M Q1 budget (207%)</t>
        </is>
      </c>
    </row>
    <row r="49">
      <c r="A49" t="inlineStr">
        <is>
          <t>4. AR aging: $90K (61%) over 90 days - collections actions approved</t>
        </is>
      </c>
    </row>
    <row r="50">
      <c r="A50" t="inlineStr">
        <is>
          <t>5. Interest income strong at $72K (99% of Q1 budget) from $14.3M cash position</t>
        </is>
      </c>
    </row>
  </sheetData>
  <mergeCells count="5">
    <mergeCell ref="A50:H50"/>
    <mergeCell ref="A48:H48"/>
    <mergeCell ref="A49:H49"/>
    <mergeCell ref="A47:H47"/>
    <mergeCell ref="A46:H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Staff</t>
        </is>
      </c>
      <c r="B1" s="4" t="inlineStr">
        <is>
          <t>Admin</t>
        </is>
      </c>
      <c r="C1" s="4" t="inlineStr">
        <is>
          <t>Events</t>
        </is>
      </c>
      <c r="D1" s="4" t="inlineStr">
        <is>
          <t>IP &amp; Products</t>
        </is>
      </c>
      <c r="E1" s="4" t="inlineStr">
        <is>
          <t>Bloom Marketing</t>
        </is>
      </c>
      <c r="F1" s="4" t="inlineStr">
        <is>
          <t>Bloom Sales</t>
        </is>
      </c>
      <c r="G1" s="4" t="inlineStr">
        <is>
          <t>Bloom Admin</t>
        </is>
      </c>
      <c r="H1" s="4" t="inlineStr">
        <is>
          <t>Total</t>
        </is>
      </c>
    </row>
    <row r="2">
      <c r="A2" t="inlineStr">
        <is>
          <t>Alleyne, Victoria</t>
        </is>
      </c>
      <c r="F2" s="9" t="n">
        <v>1</v>
      </c>
      <c r="H2">
        <f>SUM(B2:G2)</f>
        <v/>
      </c>
    </row>
    <row r="3">
      <c r="A3" t="inlineStr">
        <is>
          <t>EVENTS VACANT</t>
        </is>
      </c>
      <c r="C3" s="9" t="n">
        <v>1</v>
      </c>
      <c r="H3">
        <f>SUM(B3:G3)</f>
        <v/>
      </c>
    </row>
    <row r="4">
      <c r="A4" t="inlineStr">
        <is>
          <t>Kiser, Holly</t>
        </is>
      </c>
      <c r="F4" s="9" t="n">
        <v>1</v>
      </c>
      <c r="H4">
        <f>SUM(B4:G4)</f>
        <v/>
      </c>
    </row>
    <row r="5">
      <c r="A5" t="inlineStr">
        <is>
          <t>Lawrence, Adam</t>
        </is>
      </c>
      <c r="B5" s="9" t="n">
        <v>0.5</v>
      </c>
      <c r="D5" s="9" t="n">
        <v>0.25</v>
      </c>
      <c r="G5" s="9" t="n">
        <v>0.25</v>
      </c>
      <c r="H5">
        <f>SUM(B5:G5)</f>
        <v/>
      </c>
    </row>
    <row r="6">
      <c r="A6" t="inlineStr">
        <is>
          <t>Thompson, April</t>
        </is>
      </c>
      <c r="E6" s="9" t="n">
        <v>0.4</v>
      </c>
      <c r="F6" s="9" t="n">
        <v>0.5</v>
      </c>
      <c r="G6" s="9" t="n">
        <v>0.1</v>
      </c>
      <c r="H6">
        <f>SUM(B6:G6)</f>
        <v/>
      </c>
    </row>
    <row r="7">
      <c r="A7" t="inlineStr">
        <is>
          <t>Graham, Lovesha</t>
        </is>
      </c>
      <c r="B7" s="9" t="n">
        <v>0.5</v>
      </c>
      <c r="C7" s="9" t="n">
        <v>0.25</v>
      </c>
      <c r="G7" s="9" t="n">
        <v>0.25</v>
      </c>
      <c r="H7">
        <f>SUM(B7:G7)</f>
        <v/>
      </c>
    </row>
    <row r="8">
      <c r="A8" t="inlineStr">
        <is>
          <t>Buddle, Raul</t>
        </is>
      </c>
      <c r="C8" s="9" t="n">
        <v>1</v>
      </c>
      <c r="H8">
        <f>SUM(B8:G8)</f>
        <v/>
      </c>
    </row>
    <row r="9">
      <c r="A9" t="inlineStr">
        <is>
          <t>Klose, Cooper</t>
        </is>
      </c>
      <c r="F9" s="9" t="n">
        <v>1</v>
      </c>
      <c r="H9">
        <f>SUM(B9:G9)</f>
        <v/>
      </c>
    </row>
    <row r="12">
      <c r="A12" s="6" t="inlineStr">
        <is>
          <t>Cost</t>
        </is>
      </c>
    </row>
    <row r="13">
      <c r="A13" s="4" t="inlineStr">
        <is>
          <t>Staff</t>
        </is>
      </c>
      <c r="B13" s="4" t="inlineStr">
        <is>
          <t>Current Base</t>
        </is>
      </c>
      <c r="C13" s="4" t="inlineStr">
        <is>
          <t>COL</t>
        </is>
      </c>
      <c r="D13" s="4" t="inlineStr">
        <is>
          <t>Performance Raise</t>
        </is>
      </c>
      <c r="E13" s="4" t="inlineStr">
        <is>
          <t>Proposed Base</t>
        </is>
      </c>
      <c r="F13" s="4" t="inlineStr">
        <is>
          <t>Bonus</t>
        </is>
      </c>
      <c r="G13" s="4" t="inlineStr">
        <is>
          <t>Proposed Salary</t>
        </is>
      </c>
      <c r="H13" s="4" t="inlineStr">
        <is>
          <t>Taxes</t>
        </is>
      </c>
      <c r="I13" s="4" t="inlineStr">
        <is>
          <t>Contributions</t>
        </is>
      </c>
      <c r="J13" s="4" t="inlineStr">
        <is>
          <t>Total</t>
        </is>
      </c>
    </row>
    <row r="14">
      <c r="A14" t="inlineStr">
        <is>
          <t>Alleyne, Victoria</t>
        </is>
      </c>
      <c r="B14" s="5" t="n">
        <v>77263.23</v>
      </c>
      <c r="C14" s="10" t="n">
        <v>0.03</v>
      </c>
      <c r="D14" s="10" t="n">
        <v>0</v>
      </c>
      <c r="E14" s="11">
        <f>B14*(1+C14+D14)</f>
        <v/>
      </c>
      <c r="F14" s="5" t="n">
        <v>30600</v>
      </c>
      <c r="G14" s="11">
        <f>E14+F14</f>
        <v/>
      </c>
      <c r="H14" s="5" t="n">
        <v>8859.870000000001</v>
      </c>
      <c r="I14" s="5" t="n">
        <v>23114.28</v>
      </c>
      <c r="J14" s="11">
        <f>G14+H14+I14</f>
        <v/>
      </c>
    </row>
    <row r="15">
      <c r="A15" t="inlineStr">
        <is>
          <t>VACANT</t>
        </is>
      </c>
      <c r="B15" s="5" t="n">
        <v>0</v>
      </c>
      <c r="C15" s="10" t="n">
        <v>0</v>
      </c>
      <c r="D15" s="10" t="n">
        <v>0</v>
      </c>
      <c r="E15" s="11">
        <f>B15*(1+C15+D15)</f>
        <v/>
      </c>
      <c r="F15" s="5" t="n">
        <v>0</v>
      </c>
      <c r="G15" s="11">
        <f>E15+F15</f>
        <v/>
      </c>
      <c r="H15" s="5" t="n">
        <v>0</v>
      </c>
      <c r="I15" s="5" t="n">
        <v>0</v>
      </c>
      <c r="J15" s="11">
        <f>G15+H15+I15</f>
        <v/>
      </c>
    </row>
    <row r="16">
      <c r="A16" t="inlineStr">
        <is>
          <t>Kiser, Holly</t>
        </is>
      </c>
      <c r="B16" s="5" t="n">
        <v>66225.62</v>
      </c>
      <c r="C16" s="10" t="n">
        <v>0.03</v>
      </c>
      <c r="D16" s="10" t="n">
        <v>0</v>
      </c>
      <c r="E16" s="11">
        <f>B16*(1+C16+D16)</f>
        <v/>
      </c>
      <c r="F16" s="5" t="n">
        <v>40800</v>
      </c>
      <c r="G16" s="11">
        <f>E16+F16</f>
        <v/>
      </c>
      <c r="H16" s="5" t="n">
        <v>7669.57</v>
      </c>
      <c r="I16" s="5" t="n">
        <v>34580.64</v>
      </c>
      <c r="J16" s="11">
        <f>G16+H16+I16</f>
        <v/>
      </c>
    </row>
    <row r="17">
      <c r="A17" t="inlineStr">
        <is>
          <t>Lawrence, Adam</t>
        </is>
      </c>
      <c r="B17" s="5" t="n">
        <v>82631.78999999999</v>
      </c>
      <c r="C17" s="10" t="n">
        <v>0.03</v>
      </c>
      <c r="D17" s="10" t="n">
        <v>0</v>
      </c>
      <c r="E17" s="11">
        <f>B17*(1+C17+D17)</f>
        <v/>
      </c>
      <c r="F17" s="5" t="n">
        <v>0</v>
      </c>
      <c r="G17" s="11">
        <f>E17+F17</f>
        <v/>
      </c>
      <c r="H17" s="5" t="n">
        <v>6818.85</v>
      </c>
      <c r="I17" s="5" t="n">
        <v>1262.52</v>
      </c>
      <c r="J17" s="11">
        <f>G17+H17+I17</f>
        <v/>
      </c>
    </row>
    <row r="18">
      <c r="A18" t="inlineStr">
        <is>
          <t>Thompson, April</t>
        </is>
      </c>
      <c r="B18" s="5" t="n">
        <v>133636.32</v>
      </c>
      <c r="C18" s="10" t="n">
        <v>0.03</v>
      </c>
      <c r="D18" s="10" t="n">
        <v>0</v>
      </c>
      <c r="E18" s="11">
        <f>B18*(1+C18+D18)</f>
        <v/>
      </c>
      <c r="F18" s="5" t="n">
        <v>15000</v>
      </c>
      <c r="G18" s="11">
        <f>E18+F18</f>
        <v/>
      </c>
      <c r="H18" s="5" t="n">
        <v>11858.72</v>
      </c>
      <c r="I18" s="5" t="n">
        <v>26059.08</v>
      </c>
      <c r="J18" s="11">
        <f>G18+H18+I18</f>
        <v/>
      </c>
    </row>
    <row r="19">
      <c r="A19" t="inlineStr">
        <is>
          <t>Graham, Lovesha</t>
        </is>
      </c>
      <c r="B19" s="5" t="n">
        <v>141086</v>
      </c>
      <c r="C19" s="10" t="n">
        <v>0.03</v>
      </c>
      <c r="D19" s="10" t="n">
        <v>0</v>
      </c>
      <c r="E19" s="11">
        <f>B19*(1+C19+D19)</f>
        <v/>
      </c>
      <c r="F19" s="5" t="n">
        <v>15000</v>
      </c>
      <c r="G19" s="11">
        <f>E19+F19</f>
        <v/>
      </c>
      <c r="H19" s="5" t="n">
        <v>13038.7</v>
      </c>
      <c r="I19" s="5" t="n">
        <v>36537.59</v>
      </c>
      <c r="J19" s="11">
        <f>G19+H19+I19</f>
        <v/>
      </c>
    </row>
    <row r="20">
      <c r="A20" t="inlineStr">
        <is>
          <t>Buddle, Raul</t>
        </is>
      </c>
      <c r="B20" s="5" t="n">
        <v>79950</v>
      </c>
      <c r="C20" s="10" t="n">
        <v>0.03</v>
      </c>
      <c r="D20" s="10" t="n">
        <v>0</v>
      </c>
      <c r="E20" s="11">
        <f>B20*(1+C20+D20)</f>
        <v/>
      </c>
      <c r="F20" s="5" t="n">
        <v>6000</v>
      </c>
      <c r="G20" s="11">
        <f>E20+F20</f>
        <v/>
      </c>
      <c r="H20" s="5" t="n">
        <v>6454.73</v>
      </c>
      <c r="I20" s="5" t="n">
        <v>12179.52</v>
      </c>
      <c r="J20" s="11">
        <f>G20+H20+I20</f>
        <v/>
      </c>
    </row>
    <row r="21">
      <c r="A21" t="inlineStr">
        <is>
          <t>Klose, Cooper</t>
        </is>
      </c>
      <c r="B21" s="5" t="n">
        <v>68000</v>
      </c>
      <c r="C21" s="10" t="n">
        <v>0.015</v>
      </c>
      <c r="D21" s="10" t="n">
        <v>0</v>
      </c>
      <c r="E21" s="11">
        <f>B21*(1+C21+D21)</f>
        <v/>
      </c>
      <c r="F21" s="5" t="n">
        <v>0</v>
      </c>
      <c r="G21" s="11">
        <f>E21+F21</f>
        <v/>
      </c>
      <c r="H21" s="5" t="n">
        <v>7982.64</v>
      </c>
      <c r="I21" s="5" t="n">
        <v>17000</v>
      </c>
      <c r="J21" s="11">
        <f>G21+H21+I21</f>
        <v/>
      </c>
    </row>
    <row r="22">
      <c r="A22" s="6" t="inlineStr">
        <is>
          <t>Total</t>
        </is>
      </c>
      <c r="B22" s="7">
        <f>SUM(B14:B21)</f>
        <v/>
      </c>
      <c r="E22" s="7">
        <f>SUM(E14:E21)</f>
        <v/>
      </c>
      <c r="F22" s="7">
        <f>SUM(F14:F21)</f>
        <v/>
      </c>
      <c r="G22" s="7">
        <f>SUM(G14:G21)</f>
        <v/>
      </c>
      <c r="H22" s="7">
        <f>SUM(H14:H21)</f>
        <v/>
      </c>
      <c r="I22" s="7">
        <f>SUM(I14:I21)</f>
        <v/>
      </c>
      <c r="J22" s="7">
        <f>SUM(J14:J21)</f>
        <v/>
      </c>
    </row>
    <row r="25">
      <c r="A25" s="12" t="inlineStr">
        <is>
          <t>Cost Per Program</t>
        </is>
      </c>
    </row>
    <row r="26">
      <c r="A26" s="4" t="inlineStr">
        <is>
          <t>Staff</t>
        </is>
      </c>
      <c r="B26" s="4" t="inlineStr">
        <is>
          <t>Admin</t>
        </is>
      </c>
      <c r="C26" s="4" t="inlineStr">
        <is>
          <t>Events</t>
        </is>
      </c>
      <c r="D26" s="4" t="inlineStr">
        <is>
          <t>IP &amp; Products</t>
        </is>
      </c>
      <c r="E26" s="4" t="inlineStr">
        <is>
          <t>Bloom Marketing</t>
        </is>
      </c>
      <c r="F26" s="4" t="inlineStr">
        <is>
          <t>Bloom Sales</t>
        </is>
      </c>
      <c r="G26" s="4" t="inlineStr">
        <is>
          <t>Bloom Admin</t>
        </is>
      </c>
      <c r="H26" s="4" t="inlineStr">
        <is>
          <t>Total</t>
        </is>
      </c>
    </row>
    <row r="27">
      <c r="A27" t="inlineStr">
        <is>
          <t>Alleyne, Victoria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142155.28</v>
      </c>
      <c r="G27" s="11" t="n">
        <v>0</v>
      </c>
      <c r="H27" s="11">
        <f>SUM(B27:G27)</f>
        <v/>
      </c>
    </row>
    <row r="28">
      <c r="A28" t="inlineStr">
        <is>
          <t>EVENTS VACANT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>
        <f>SUM(B28:G28)</f>
        <v/>
      </c>
    </row>
    <row r="29">
      <c r="A29" t="inlineStr">
        <is>
          <t>Kiser, Holly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151262.6</v>
      </c>
      <c r="G29" s="11" t="n">
        <v>0</v>
      </c>
      <c r="H29" s="11">
        <f>SUM(B29:G29)</f>
        <v/>
      </c>
    </row>
    <row r="30">
      <c r="A30" t="inlineStr">
        <is>
          <t>Lawrence, Adam</t>
        </is>
      </c>
      <c r="B30" s="11" t="n">
        <v>46596.06</v>
      </c>
      <c r="C30" s="11" t="n">
        <v>0</v>
      </c>
      <c r="D30" s="11" t="n">
        <v>23298.03</v>
      </c>
      <c r="E30" s="11" t="n">
        <v>0</v>
      </c>
      <c r="F30" s="11" t="n">
        <v>0</v>
      </c>
      <c r="G30" s="11" t="n">
        <v>23298.03</v>
      </c>
      <c r="H30" s="11">
        <f>SUM(B30:G30)</f>
        <v/>
      </c>
    </row>
    <row r="31">
      <c r="A31" t="inlineStr">
        <is>
          <t>Thompson, April</t>
        </is>
      </c>
      <c r="B31" s="11" t="n">
        <v>0</v>
      </c>
      <c r="C31" s="11" t="n">
        <v>0</v>
      </c>
      <c r="D31" s="11" t="n">
        <v>0</v>
      </c>
      <c r="E31" s="11" t="n">
        <v>76225.28</v>
      </c>
      <c r="F31" s="11" t="n">
        <v>95281.61</v>
      </c>
      <c r="G31" s="11" t="n">
        <v>19056.32</v>
      </c>
      <c r="H31" s="11">
        <f>SUM(B31:G31)</f>
        <v/>
      </c>
    </row>
    <row r="32">
      <c r="A32" t="inlineStr">
        <is>
          <t>Graham, Lovesha</t>
        </is>
      </c>
      <c r="B32" s="11" t="n">
        <v>104947.44</v>
      </c>
      <c r="C32" s="11" t="n">
        <v>52473.72</v>
      </c>
      <c r="D32" s="11" t="n">
        <v>0</v>
      </c>
      <c r="E32" s="11" t="n">
        <v>0</v>
      </c>
      <c r="F32" s="11" t="n">
        <v>0</v>
      </c>
      <c r="G32" s="11" t="n">
        <v>52473.72</v>
      </c>
      <c r="H32" s="11">
        <f>SUM(B32:G32)</f>
        <v/>
      </c>
    </row>
    <row r="33">
      <c r="A33" t="inlineStr">
        <is>
          <t>Buddle, Raul</t>
        </is>
      </c>
      <c r="B33" s="11" t="n">
        <v>0</v>
      </c>
      <c r="C33" s="11" t="n">
        <v>106982.75</v>
      </c>
      <c r="D33" s="11" t="n">
        <v>0</v>
      </c>
      <c r="E33" s="11" t="n">
        <v>0</v>
      </c>
      <c r="F33" s="11" t="n">
        <v>0</v>
      </c>
      <c r="G33" s="11" t="n">
        <v>0</v>
      </c>
      <c r="H33" s="11">
        <f>SUM(B33:G33)</f>
        <v/>
      </c>
    </row>
    <row r="34">
      <c r="A34" t="inlineStr">
        <is>
          <t>Klose, Cooper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94002.64</v>
      </c>
      <c r="G34" s="11" t="n">
        <v>0</v>
      </c>
      <c r="H34" s="11">
        <f>SUM(B34:G34)</f>
        <v/>
      </c>
    </row>
    <row r="35">
      <c r="A35" s="6" t="inlineStr">
        <is>
          <t>Total</t>
        </is>
      </c>
      <c r="B35" s="7">
        <f>SUM(B27:B34)</f>
        <v/>
      </c>
      <c r="C35" s="7">
        <f>SUM(C27:C34)</f>
        <v/>
      </c>
      <c r="D35" s="7">
        <f>SUM(D27:D34)</f>
        <v/>
      </c>
      <c r="E35" s="7">
        <f>SUM(E27:E34)</f>
        <v/>
      </c>
      <c r="F35" s="7">
        <f>SUM(F27:F34)</f>
        <v/>
      </c>
      <c r="G35" s="7">
        <f>SUM(G27:G34)</f>
        <v/>
      </c>
      <c r="H35" s="7">
        <f>SUM(H27:H34)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INCOME</t>
        </is>
      </c>
      <c r="B1" s="4" t="inlineStr">
        <is>
          <t>Bloom Marketing</t>
        </is>
      </c>
      <c r="C1" s="4" t="inlineStr">
        <is>
          <t>Bloom Sales</t>
        </is>
      </c>
      <c r="D1" s="4" t="inlineStr">
        <is>
          <t>TOTAL</t>
        </is>
      </c>
    </row>
    <row r="2">
      <c r="A2" t="inlineStr">
        <is>
          <t>4010 Bloom Sales</t>
        </is>
      </c>
      <c r="B2" s="13" t="n">
        <v>0</v>
      </c>
      <c r="C2" s="5" t="n">
        <v>425000</v>
      </c>
      <c r="D2" s="11">
        <f>B2+C2</f>
        <v/>
      </c>
    </row>
    <row r="3">
      <c r="A3" t="inlineStr">
        <is>
          <t>4012 Bloom Deliveries</t>
        </is>
      </c>
      <c r="B3" s="13" t="n">
        <v>0</v>
      </c>
      <c r="C3" s="5" t="n">
        <v>125000</v>
      </c>
      <c r="D3" s="11">
        <f>B3+C3</f>
        <v/>
      </c>
    </row>
    <row r="4">
      <c r="A4" t="inlineStr">
        <is>
          <t>4030 Bloom Hauling - DC Water</t>
        </is>
      </c>
      <c r="B4" s="5" t="n">
        <v>1501808.37</v>
      </c>
      <c r="C4" s="13" t="n">
        <v>0</v>
      </c>
      <c r="D4" s="11">
        <f>B4+C4</f>
        <v/>
      </c>
    </row>
    <row r="5">
      <c r="A5" t="inlineStr">
        <is>
          <t>4031 Land App - DC Water reimbursement</t>
        </is>
      </c>
      <c r="B5" s="5" t="n">
        <v>749000</v>
      </c>
      <c r="C5" s="13" t="n">
        <v>0</v>
      </c>
      <c r="D5" s="11">
        <f>B5+C5</f>
        <v/>
      </c>
    </row>
    <row r="6">
      <c r="A6" t="inlineStr">
        <is>
          <t>4040 Bloom - DC Water Marketing Fee</t>
        </is>
      </c>
      <c r="B6" s="5" t="n">
        <v>1054130</v>
      </c>
      <c r="C6" s="13" t="n">
        <v>0</v>
      </c>
      <c r="D6" s="11">
        <f>B6+C6</f>
        <v/>
      </c>
    </row>
    <row r="7">
      <c r="A7" s="6" t="inlineStr">
        <is>
          <t>Total Income</t>
        </is>
      </c>
      <c r="B7" s="7">
        <f>SUM(B2:B6)</f>
        <v/>
      </c>
      <c r="C7" s="7">
        <f>SUM(C2:C6)</f>
        <v/>
      </c>
      <c r="D7" s="7">
        <f>B7+C7</f>
        <v/>
      </c>
    </row>
    <row r="9">
      <c r="A9" s="4" t="inlineStr">
        <is>
          <t>Cost of Goods Sold</t>
        </is>
      </c>
    </row>
    <row r="10">
      <c r="A10" t="inlineStr">
        <is>
          <t>5105 Bloom Hauling</t>
        </is>
      </c>
      <c r="B10" s="5" t="n">
        <v>2176157.32</v>
      </c>
      <c r="C10" s="13" t="n">
        <v>0</v>
      </c>
      <c r="D10" s="11">
        <f>B10+C10</f>
        <v/>
      </c>
    </row>
    <row r="11">
      <c r="A11" t="inlineStr">
        <is>
          <t>5106 Blending Material</t>
        </is>
      </c>
      <c r="B11" s="13" t="n">
        <v>0</v>
      </c>
      <c r="C11" s="5" t="n">
        <v>125062</v>
      </c>
      <c r="D11" s="11">
        <f>B11+C11</f>
        <v/>
      </c>
    </row>
    <row r="12">
      <c r="A12" t="inlineStr">
        <is>
          <t>5125 Subcontractors - COS</t>
        </is>
      </c>
      <c r="B12" s="5" t="n">
        <v>7000</v>
      </c>
      <c r="C12" s="13" t="n">
        <v>0</v>
      </c>
      <c r="D12" s="11">
        <f>B12+C12</f>
        <v/>
      </c>
    </row>
    <row r="13">
      <c r="A13" s="6" t="inlineStr">
        <is>
          <t>Total Cost of Goods Sold</t>
        </is>
      </c>
      <c r="B13" s="7">
        <f>SUM(B10:B12)</f>
        <v/>
      </c>
      <c r="C13" s="7">
        <f>SUM(C10:C12)</f>
        <v/>
      </c>
      <c r="D13" s="7">
        <f>B13+C13</f>
        <v/>
      </c>
    </row>
    <row r="14">
      <c r="A14" s="14" t="inlineStr">
        <is>
          <t>Gross Profit</t>
        </is>
      </c>
      <c r="B14" s="11">
        <f>B7-B13</f>
        <v/>
      </c>
      <c r="C14" s="11">
        <f>C7-C13</f>
        <v/>
      </c>
      <c r="D14" s="15">
        <f>D7-D13</f>
        <v/>
      </c>
    </row>
    <row r="16">
      <c r="A16" s="4" t="inlineStr">
        <is>
          <t>Expenses</t>
        </is>
      </c>
    </row>
    <row r="17">
      <c r="A17" t="inlineStr">
        <is>
          <t>5010 Salary</t>
        </is>
      </c>
      <c r="B17" s="5" t="n">
        <v>76225.28</v>
      </c>
      <c r="C17" s="5" t="n">
        <v>482702.12</v>
      </c>
      <c r="D17" s="11">
        <f>B17+C17</f>
        <v/>
      </c>
    </row>
    <row r="18">
      <c r="A18" t="inlineStr">
        <is>
          <t>5020 Fringe</t>
        </is>
      </c>
      <c r="B18" s="5" t="n">
        <v>62188.21</v>
      </c>
      <c r="C18" s="13" t="n">
        <v>0</v>
      </c>
      <c r="D18" s="11">
        <f>B18+C18</f>
        <v/>
      </c>
    </row>
    <row r="19">
      <c r="A19" t="inlineStr">
        <is>
          <t>5030 Payroll Taxes</t>
        </is>
      </c>
      <c r="B19" s="5" t="n">
        <v>20626.71</v>
      </c>
      <c r="C19" s="13" t="n">
        <v>0</v>
      </c>
      <c r="D19" s="11">
        <f>B19+C19</f>
        <v/>
      </c>
    </row>
    <row r="20">
      <c r="A20" t="inlineStr">
        <is>
          <t>5050 Bonus</t>
        </is>
      </c>
      <c r="B20" s="5" t="n">
        <v>85817</v>
      </c>
      <c r="C20" s="13" t="n">
        <v>0</v>
      </c>
      <c r="D20" s="11">
        <f>B20+C20</f>
        <v/>
      </c>
    </row>
    <row r="21">
      <c r="A21" t="inlineStr">
        <is>
          <t>6001 Legal Fees</t>
        </is>
      </c>
      <c r="B21" s="13" t="n">
        <v>0</v>
      </c>
      <c r="C21" s="5" t="n">
        <v>10000</v>
      </c>
      <c r="D21" s="11">
        <f>B21+C21</f>
        <v/>
      </c>
    </row>
    <row r="22">
      <c r="A22" t="inlineStr">
        <is>
          <t>6005 Human Resources Fees</t>
        </is>
      </c>
      <c r="B22" s="5" t="n">
        <v>1500</v>
      </c>
      <c r="C22" s="5" t="n">
        <v>2750</v>
      </c>
      <c r="D22" s="11">
        <f>B22+C22</f>
        <v/>
      </c>
    </row>
    <row r="23">
      <c r="A23" t="inlineStr">
        <is>
          <t>6006 Operations Consulting</t>
        </is>
      </c>
      <c r="B23" s="5" t="n">
        <v>85000</v>
      </c>
      <c r="C23" s="13" t="n">
        <v>0</v>
      </c>
      <c r="D23" s="11">
        <f>B23+C23</f>
        <v/>
      </c>
    </row>
    <row r="24">
      <c r="A24" t="inlineStr">
        <is>
          <t>6008 Land App/Storage</t>
        </is>
      </c>
      <c r="B24" s="5" t="n">
        <v>749000</v>
      </c>
      <c r="C24" s="13" t="n">
        <v>0</v>
      </c>
      <c r="D24" s="11">
        <f>B24+C24</f>
        <v/>
      </c>
    </row>
    <row r="25">
      <c r="A25" t="inlineStr">
        <is>
          <t>6009 Other Professional Fees</t>
        </is>
      </c>
      <c r="B25" s="5" t="n">
        <v>30000</v>
      </c>
      <c r="C25" s="13" t="n">
        <v>0</v>
      </c>
      <c r="D25" s="11">
        <f>B25+C25</f>
        <v/>
      </c>
    </row>
    <row r="26">
      <c r="A26" s="6" t="inlineStr">
        <is>
          <t>Total Expenses</t>
        </is>
      </c>
      <c r="B26" s="7">
        <f>SUM(B17:B25)</f>
        <v/>
      </c>
      <c r="C26" s="7">
        <f>SUM(C17:C25)</f>
        <v/>
      </c>
      <c r="D26" s="7">
        <f>B26+C26</f>
        <v/>
      </c>
    </row>
    <row r="28">
      <c r="A28" s="12" t="inlineStr">
        <is>
          <t>Net Income</t>
        </is>
      </c>
      <c r="B28" s="11">
        <f>B14-B26</f>
        <v/>
      </c>
      <c r="C28" s="11">
        <f>C14-C26</f>
        <v/>
      </c>
      <c r="D28" s="16">
        <f>D14-D26</f>
        <v/>
      </c>
    </row>
  </sheetData>
  <mergeCells count="2">
    <mergeCell ref="A9:D9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2" customWidth="1" min="5" max="5"/>
    <col width="12" customWidth="1" min="6" max="6"/>
    <col width="15" customWidth="1" min="7" max="7"/>
  </cols>
  <sheetData>
    <row r="1">
      <c r="A1" s="2" t="inlineStr">
        <is>
          <t>Events PNL</t>
        </is>
      </c>
    </row>
    <row r="3">
      <c r="A3" s="4" t="inlineStr">
        <is>
          <t>Income</t>
        </is>
      </c>
      <c r="B3" s="4" t="inlineStr">
        <is>
          <t>Amount</t>
        </is>
      </c>
      <c r="E3" s="12" t="inlineStr">
        <is>
          <t>FY26 Event Goals</t>
        </is>
      </c>
    </row>
    <row r="4">
      <c r="A4" t="inlineStr">
        <is>
          <t>4043 Event Rental Revenue</t>
        </is>
      </c>
      <c r="B4" s="5" t="n">
        <v>696000</v>
      </c>
      <c r="E4" s="4" t="inlineStr">
        <is>
          <t>Event Type</t>
        </is>
      </c>
      <c r="F4" s="4" t="inlineStr">
        <is>
          <t># of Events</t>
        </is>
      </c>
      <c r="G4" s="4" t="inlineStr">
        <is>
          <t>Gross Revenue</t>
        </is>
      </c>
    </row>
    <row r="5">
      <c r="A5" s="6" t="inlineStr">
        <is>
          <t>Total Income</t>
        </is>
      </c>
      <c r="B5" s="7">
        <f>SUM(B4:B4)</f>
        <v/>
      </c>
      <c r="E5" t="inlineStr">
        <is>
          <t>Corporate meeting</t>
        </is>
      </c>
      <c r="F5" s="9" t="n">
        <v>10</v>
      </c>
      <c r="G5" s="5" t="n">
        <v>145000</v>
      </c>
    </row>
    <row r="6">
      <c r="E6" t="inlineStr">
        <is>
          <t>Free Community Event</t>
        </is>
      </c>
      <c r="F6" s="9" t="n">
        <v>12</v>
      </c>
      <c r="G6" s="5" t="n">
        <v>138021</v>
      </c>
    </row>
    <row r="7">
      <c r="A7" s="4" t="inlineStr">
        <is>
          <t>Cost of Goods Sold</t>
        </is>
      </c>
      <c r="E7" t="inlineStr">
        <is>
          <t>Individual Event</t>
        </is>
      </c>
      <c r="F7" s="9" t="n">
        <v>10</v>
      </c>
      <c r="G7" s="5" t="n">
        <v>176940</v>
      </c>
    </row>
    <row r="8">
      <c r="A8" t="inlineStr">
        <is>
          <t>5125 Subcontractors - COS</t>
        </is>
      </c>
      <c r="B8" s="5" t="n">
        <v>54885.6</v>
      </c>
      <c r="E8" t="inlineStr">
        <is>
          <t>Non-profit</t>
        </is>
      </c>
      <c r="F8" s="9" t="n">
        <v>5</v>
      </c>
      <c r="G8" s="5" t="n">
        <v>76697</v>
      </c>
    </row>
    <row r="9">
      <c r="A9" t="inlineStr">
        <is>
          <t>5129 Security &amp; Valet</t>
        </is>
      </c>
      <c r="B9" s="5" t="n">
        <v>35000</v>
      </c>
      <c r="E9" t="inlineStr">
        <is>
          <t>Government</t>
        </is>
      </c>
      <c r="F9" s="9" t="n">
        <v>5</v>
      </c>
      <c r="G9" s="5" t="n">
        <v>48470</v>
      </c>
    </row>
    <row r="10">
      <c r="A10" s="6" t="inlineStr">
        <is>
          <t>Total COGS</t>
        </is>
      </c>
      <c r="B10" s="7">
        <f>SUM(B8:B9)</f>
        <v/>
      </c>
      <c r="E10" t="inlineStr">
        <is>
          <t>Wedding/Prom</t>
        </is>
      </c>
      <c r="F10" s="9" t="n">
        <v>10</v>
      </c>
      <c r="G10" s="5" t="n">
        <v>110749</v>
      </c>
    </row>
    <row r="11">
      <c r="A11" s="14" t="inlineStr">
        <is>
          <t>Gross Profit</t>
        </is>
      </c>
      <c r="B11" s="11">
        <f>B5-B10</f>
        <v/>
      </c>
      <c r="E11" s="6" t="inlineStr">
        <is>
          <t>Total</t>
        </is>
      </c>
      <c r="F11" s="6">
        <f>SUM(F5:F10)</f>
        <v/>
      </c>
      <c r="G11" s="7">
        <f>SUM(G5:G10)</f>
        <v/>
      </c>
    </row>
    <row r="13">
      <c r="A13" s="4" t="inlineStr">
        <is>
          <t>Expenses</t>
        </is>
      </c>
    </row>
    <row r="14">
      <c r="A14" t="inlineStr">
        <is>
          <t>5010 Salary</t>
        </is>
      </c>
      <c r="B14" s="5" t="n">
        <v>82348.5</v>
      </c>
    </row>
    <row r="15">
      <c r="A15" t="inlineStr">
        <is>
          <t>5020 Fringe</t>
        </is>
      </c>
      <c r="B15" s="5" t="n">
        <v>13000</v>
      </c>
    </row>
    <row r="16">
      <c r="A16" t="inlineStr">
        <is>
          <t>5030 Payroll Taxes</t>
        </is>
      </c>
      <c r="B16" s="5" t="n">
        <v>7700</v>
      </c>
    </row>
    <row r="17">
      <c r="A17" t="inlineStr">
        <is>
          <t>5050 Bonus</t>
        </is>
      </c>
      <c r="B17" s="5" t="n">
        <v>6000</v>
      </c>
    </row>
    <row r="18">
      <c r="A18" t="inlineStr">
        <is>
          <t>6004 IT Services</t>
        </is>
      </c>
      <c r="B18" s="5" t="n">
        <v>11500</v>
      </c>
    </row>
    <row r="19">
      <c r="A19" t="inlineStr">
        <is>
          <t>6005 Human Resources Fees</t>
        </is>
      </c>
      <c r="B19" s="5" t="n">
        <v>3204</v>
      </c>
    </row>
    <row r="20">
      <c r="A20" t="inlineStr">
        <is>
          <t>6009 Other Professional Fees (Valet &amp; Security)</t>
        </is>
      </c>
      <c r="B20" s="5" t="n">
        <v>79871.5</v>
      </c>
    </row>
    <row r="21">
      <c r="A21" t="inlineStr">
        <is>
          <t>6101 Transportation</t>
        </is>
      </c>
      <c r="B21" s="5" t="n">
        <v>500</v>
      </c>
    </row>
    <row r="22">
      <c r="A22" t="inlineStr">
        <is>
          <t>6102 Lodging</t>
        </is>
      </c>
      <c r="B22" s="5" t="n">
        <v>1500</v>
      </c>
    </row>
    <row r="23">
      <c r="A23" t="inlineStr">
        <is>
          <t>6103 Per Diem</t>
        </is>
      </c>
      <c r="B23" s="5" t="n">
        <v>500</v>
      </c>
    </row>
    <row r="24">
      <c r="A24" t="inlineStr">
        <is>
          <t>6104 Mileage</t>
        </is>
      </c>
      <c r="B24" s="5" t="n">
        <v>500</v>
      </c>
    </row>
    <row r="25">
      <c r="A25" t="inlineStr">
        <is>
          <t>6202 Office Cleaning &amp; Maintenance</t>
        </is>
      </c>
      <c r="B25" s="5" t="n">
        <v>46500</v>
      </c>
    </row>
    <row r="26">
      <c r="A26" s="6" t="inlineStr">
        <is>
          <t>Total Expenses</t>
        </is>
      </c>
      <c r="B26" s="7">
        <f>SUM(B14:B25)</f>
        <v/>
      </c>
    </row>
    <row r="28">
      <c r="A28" s="12" t="inlineStr">
        <is>
          <t>Net Income</t>
        </is>
      </c>
      <c r="B28" s="16">
        <f>B11-B26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>
      <c r="A1" s="4" t="inlineStr">
        <is>
          <t>Income</t>
        </is>
      </c>
      <c r="B1" s="4" t="inlineStr">
        <is>
          <t>Amount</t>
        </is>
      </c>
      <c r="C1" s="4" t="inlineStr">
        <is>
          <t>Notes</t>
        </is>
      </c>
    </row>
    <row r="2">
      <c r="A2" t="inlineStr">
        <is>
          <t>4042 Products and IP Revenue</t>
        </is>
      </c>
      <c r="B2" s="5" t="n">
        <v>340929</v>
      </c>
      <c r="C2" t="inlineStr">
        <is>
          <t>Based on ARA projections</t>
        </is>
      </c>
    </row>
    <row r="3">
      <c r="A3" s="6" t="inlineStr">
        <is>
          <t>Total Income</t>
        </is>
      </c>
      <c r="B3" s="7">
        <f>SUM(B2:B2)</f>
        <v/>
      </c>
    </row>
    <row r="5">
      <c r="A5" s="4" t="inlineStr">
        <is>
          <t>Cost of Goods Sold</t>
        </is>
      </c>
    </row>
    <row r="6">
      <c r="A6" t="inlineStr">
        <is>
          <t>5115 Other Costs - COS (Royalty payout)</t>
        </is>
      </c>
      <c r="B6" s="5" t="n">
        <v>132960</v>
      </c>
      <c r="C6" t="inlineStr">
        <is>
          <t>Royalty pay out</t>
        </is>
      </c>
    </row>
    <row r="7">
      <c r="A7" s="6" t="inlineStr">
        <is>
          <t>Total COGS</t>
        </is>
      </c>
      <c r="B7" s="7">
        <f>SUM(B6:B6)</f>
        <v/>
      </c>
    </row>
    <row r="8">
      <c r="A8" s="14" t="inlineStr">
        <is>
          <t>Gross Profit</t>
        </is>
      </c>
      <c r="B8" s="11">
        <f>B3-B7</f>
        <v/>
      </c>
    </row>
    <row r="10">
      <c r="A10" s="4" t="inlineStr">
        <is>
          <t>Expenses</t>
        </is>
      </c>
    </row>
    <row r="11">
      <c r="A11" t="inlineStr">
        <is>
          <t>5000 Compensation (allocated)</t>
        </is>
      </c>
      <c r="B11" s="5" t="n">
        <v>23298.03</v>
      </c>
      <c r="C11" t="inlineStr">
        <is>
          <t>25% of Adam Lawrence</t>
        </is>
      </c>
    </row>
    <row r="12">
      <c r="A12" s="6" t="inlineStr">
        <is>
          <t>Total Expenses</t>
        </is>
      </c>
      <c r="B12" s="7">
        <f>SUM(B11:B11)</f>
        <v/>
      </c>
    </row>
    <row r="14">
      <c r="A14" s="12" t="inlineStr">
        <is>
          <t>Net Income</t>
        </is>
      </c>
      <c r="B14" s="16">
        <f>B8-B12</f>
        <v/>
      </c>
    </row>
    <row r="17">
      <c r="A17" s="12" t="inlineStr">
        <is>
          <t>IP Revenue Breakdown</t>
        </is>
      </c>
    </row>
    <row r="18">
      <c r="A18" s="4" t="inlineStr">
        <is>
          <t>IP</t>
        </is>
      </c>
      <c r="B18" s="4" t="inlineStr">
        <is>
          <t>Projected Revenue</t>
        </is>
      </c>
      <c r="C18" s="4" t="inlineStr">
        <is>
          <t>Notes</t>
        </is>
      </c>
    </row>
    <row r="19">
      <c r="A19" t="inlineStr">
        <is>
          <t>Ovivo</t>
        </is>
      </c>
      <c r="B19" s="5" t="n">
        <v>100000</v>
      </c>
      <c r="C19" t="inlineStr">
        <is>
          <t>Minimum Contract Amount</t>
        </is>
      </c>
    </row>
    <row r="20">
      <c r="A20" t="inlineStr">
        <is>
          <t>inDense</t>
        </is>
      </c>
      <c r="B20" s="5" t="n">
        <v>93000</v>
      </c>
      <c r="C20" t="inlineStr">
        <is>
          <t>25% royalty on ARA projected €341k</t>
        </is>
      </c>
    </row>
    <row r="21">
      <c r="A21" t="inlineStr">
        <is>
          <t>DEMON</t>
        </is>
      </c>
      <c r="B21" s="5" t="n">
        <v>156000</v>
      </c>
      <c r="C21" t="inlineStr">
        <is>
          <t>50% royalty on ARA projected $315k</t>
        </is>
      </c>
    </row>
    <row r="22">
      <c r="A22" t="inlineStr">
        <is>
          <t>LayerMark</t>
        </is>
      </c>
      <c r="B22" s="5" t="n">
        <v>0</v>
      </c>
      <c r="C22" t="inlineStr">
        <is>
          <t>TBD</t>
        </is>
      </c>
    </row>
    <row r="23">
      <c r="A23" s="6" t="inlineStr">
        <is>
          <t>Total</t>
        </is>
      </c>
      <c r="B23" s="7">
        <f>SUM(B19:B22)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Renewable Energy Credits (RECs) PNL</t>
        </is>
      </c>
    </row>
    <row r="3">
      <c r="A3" s="4" t="inlineStr">
        <is>
          <t>Income</t>
        </is>
      </c>
      <c r="B3" s="4" t="inlineStr">
        <is>
          <t>Amount</t>
        </is>
      </c>
      <c r="C3" s="4" t="inlineStr">
        <is>
          <t>Notes</t>
        </is>
      </c>
    </row>
    <row r="4">
      <c r="A4" t="inlineStr">
        <is>
          <t>4044 REC Sales - Tier 1</t>
        </is>
      </c>
      <c r="B4" s="5" t="n">
        <v>4100782</v>
      </c>
      <c r="C4" t="inlineStr">
        <is>
          <t>Based on Chris's estimate</t>
        </is>
      </c>
    </row>
    <row r="5">
      <c r="A5" t="inlineStr">
        <is>
          <t>4044 REC Sales - HEX</t>
        </is>
      </c>
      <c r="B5" s="5" t="n">
        <v>256416</v>
      </c>
      <c r="C5" t="inlineStr">
        <is>
          <t>Hex credits</t>
        </is>
      </c>
    </row>
    <row r="6">
      <c r="A6" t="inlineStr">
        <is>
          <t>4044 Solar RECs (NEW)</t>
        </is>
      </c>
      <c r="B6" s="5" t="n">
        <v>500000</v>
      </c>
      <c r="C6" t="inlineStr">
        <is>
          <t>New solar REC stream</t>
        </is>
      </c>
    </row>
    <row r="7">
      <c r="A7" t="inlineStr">
        <is>
          <t>4065 REC Admin Fee</t>
        </is>
      </c>
      <c r="B7" s="5" t="n">
        <v>21803</v>
      </c>
      <c r="C7" t="inlineStr">
        <is>
          <t>Admin fee on REC sales</t>
        </is>
      </c>
    </row>
    <row r="8">
      <c r="A8" s="6" t="inlineStr">
        <is>
          <t>Total Income</t>
        </is>
      </c>
      <c r="B8" s="7">
        <f>SUM(B4:B7)</f>
        <v/>
      </c>
    </row>
    <row r="10">
      <c r="A10" s="4" t="inlineStr">
        <is>
          <t>Cost of Goods Sold</t>
        </is>
      </c>
    </row>
    <row r="11">
      <c r="A11" t="inlineStr">
        <is>
          <t>5120 REC Broker Fees</t>
        </is>
      </c>
      <c r="B11" s="5" t="n">
        <v>217803</v>
      </c>
      <c r="C11" t="inlineStr">
        <is>
          <t>Broker commission on REC sales</t>
        </is>
      </c>
    </row>
    <row r="12">
      <c r="A12" s="6" t="inlineStr">
        <is>
          <t>Total COGS</t>
        </is>
      </c>
      <c r="B12" s="7">
        <f>SUM(B11:B11)</f>
        <v/>
      </c>
    </row>
    <row r="13">
      <c r="A13" s="14" t="inlineStr">
        <is>
          <t>Gross Profit</t>
        </is>
      </c>
      <c r="B13" s="11">
        <f>B8-B12</f>
        <v/>
      </c>
    </row>
    <row r="15">
      <c r="A15" s="4" t="inlineStr">
        <is>
          <t>Expenses</t>
        </is>
      </c>
    </row>
    <row r="16">
      <c r="A16" t="inlineStr">
        <is>
          <t>No direct expenses allocated</t>
        </is>
      </c>
    </row>
    <row r="18">
      <c r="A18" s="12" t="inlineStr">
        <is>
          <t>Net Income</t>
        </is>
      </c>
      <c r="B18" s="16">
        <f>B13</f>
        <v/>
      </c>
    </row>
    <row r="21">
      <c r="A21" s="12" t="inlineStr">
        <is>
          <t>REC Pricing &amp; Volume</t>
        </is>
      </c>
    </row>
    <row r="22">
      <c r="A22" s="4" t="inlineStr">
        <is>
          <t>Type</t>
        </is>
      </c>
      <c r="B22" s="4" t="inlineStr">
        <is>
          <t>Volume</t>
        </is>
      </c>
      <c r="C22" s="4" t="inlineStr">
        <is>
          <t>DC Price</t>
        </is>
      </c>
      <c r="D22" s="4" t="inlineStr">
        <is>
          <t>MD/PA Price</t>
        </is>
      </c>
      <c r="E22" s="4" t="inlineStr">
        <is>
          <t>Revenue</t>
        </is>
      </c>
    </row>
    <row r="23">
      <c r="A23" t="inlineStr">
        <is>
          <t>Tier 1</t>
        </is>
      </c>
      <c r="B23" s="9" t="n">
        <v>165700</v>
      </c>
      <c r="C23" s="17" t="n">
        <v>30</v>
      </c>
      <c r="D23" s="17" t="n">
        <v>34</v>
      </c>
      <c r="E23" s="11">
        <f>B23*((C23+D23)/2)</f>
        <v/>
      </c>
    </row>
    <row r="24">
      <c r="A24" t="inlineStr">
        <is>
          <t>HEX</t>
        </is>
      </c>
      <c r="B24" s="9" t="n">
        <v>14325</v>
      </c>
      <c r="C24" s="17" t="n">
        <v>30</v>
      </c>
      <c r="D24" s="17" t="n">
        <v>34</v>
      </c>
      <c r="E24" s="11">
        <f>B24*((C24+D24)/2)</f>
        <v/>
      </c>
    </row>
    <row r="25">
      <c r="A25" t="inlineStr">
        <is>
          <t>SREC</t>
        </is>
      </c>
      <c r="B25" s="9" t="n">
        <v>10</v>
      </c>
      <c r="C25" s="17" t="n">
        <v>440</v>
      </c>
      <c r="D25" s="17" t="n">
        <v>0</v>
      </c>
      <c r="E25" s="11">
        <f>B25*((C25+D25)/2)</f>
        <v/>
      </c>
    </row>
    <row r="26">
      <c r="A26" s="6" t="inlineStr">
        <is>
          <t>Total</t>
        </is>
      </c>
      <c r="E26" s="7">
        <f>SUM(E23:E25)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</cols>
  <sheetData>
    <row r="1">
      <c r="A1" s="2" t="inlineStr">
        <is>
          <t>Administration PNL</t>
        </is>
      </c>
    </row>
    <row r="3">
      <c r="A3" s="4" t="inlineStr">
        <is>
          <t>Income</t>
        </is>
      </c>
      <c r="B3" s="4" t="inlineStr">
        <is>
          <t>Amount</t>
        </is>
      </c>
      <c r="C3" s="4" t="inlineStr">
        <is>
          <t>Notes</t>
        </is>
      </c>
    </row>
    <row r="4">
      <c r="A4" t="inlineStr">
        <is>
          <t>4045 Cell Tower Revenue</t>
        </is>
      </c>
      <c r="B4" s="5" t="n">
        <v>179971.86</v>
      </c>
      <c r="C4" t="inlineStr">
        <is>
          <t>Based on current agreements</t>
        </is>
      </c>
    </row>
    <row r="5">
      <c r="A5" t="inlineStr">
        <is>
          <t>4050 Interest</t>
        </is>
      </c>
      <c r="B5" s="5" t="n">
        <v>290000</v>
      </c>
      <c r="C5" t="inlineStr">
        <is>
          <t>Interest income from cash reserves</t>
        </is>
      </c>
    </row>
    <row r="6">
      <c r="A6" t="inlineStr">
        <is>
          <t>4070 Web Store</t>
        </is>
      </c>
      <c r="B6" s="5" t="n">
        <v>2750</v>
      </c>
      <c r="C6" t="inlineStr">
        <is>
          <t>Blue Drop Shop</t>
        </is>
      </c>
    </row>
    <row r="7">
      <c r="A7" s="6" t="inlineStr">
        <is>
          <t>Total Income</t>
        </is>
      </c>
      <c r="B7" s="7">
        <f>SUM(B4:B6)</f>
        <v/>
      </c>
    </row>
    <row r="9">
      <c r="A9" s="4" t="inlineStr">
        <is>
          <t>Expenses</t>
        </is>
      </c>
    </row>
    <row r="10">
      <c r="A10" t="inlineStr">
        <is>
          <t>5010 Salary (allocated)</t>
        </is>
      </c>
      <c r="B10" s="5" t="n">
        <v>151543.49</v>
      </c>
      <c r="C10" t="inlineStr">
        <is>
          <t>Admin allocation of Lovesha &amp; Adam</t>
        </is>
      </c>
    </row>
    <row r="11">
      <c r="A11" t="inlineStr">
        <is>
          <t>5020 Fringe</t>
        </is>
      </c>
      <c r="B11" s="5" t="n">
        <v>36537.59</v>
      </c>
      <c r="C11" t="inlineStr">
        <is>
          <t>Benefits</t>
        </is>
      </c>
    </row>
    <row r="12">
      <c r="A12" t="inlineStr">
        <is>
          <t>5030 Payroll Taxes</t>
        </is>
      </c>
      <c r="B12" s="5" t="n">
        <v>13038.7</v>
      </c>
      <c r="C12" t="inlineStr">
        <is>
          <t>Payroll taxes</t>
        </is>
      </c>
    </row>
    <row r="13">
      <c r="A13" t="inlineStr">
        <is>
          <t>5050 Bonus</t>
        </is>
      </c>
      <c r="B13" s="5" t="n">
        <v>15000</v>
      </c>
      <c r="C13" t="inlineStr">
        <is>
          <t>Bonus allocation</t>
        </is>
      </c>
    </row>
    <row r="14">
      <c r="A14" t="inlineStr">
        <is>
          <t>6001 Legal Fees</t>
        </is>
      </c>
      <c r="B14" s="5" t="n">
        <v>75000</v>
      </c>
      <c r="C14" t="inlineStr">
        <is>
          <t>Legal services</t>
        </is>
      </c>
    </row>
    <row r="15">
      <c r="A15" t="inlineStr">
        <is>
          <t>6002 Audit Fees</t>
        </is>
      </c>
      <c r="B15" s="5" t="n">
        <v>24000</v>
      </c>
      <c r="C15" t="inlineStr">
        <is>
          <t>Annual audit</t>
        </is>
      </c>
    </row>
    <row r="16">
      <c r="A16" t="inlineStr">
        <is>
          <t>6003 Accounting Fees</t>
        </is>
      </c>
      <c r="B16" s="5" t="n">
        <v>55200</v>
      </c>
      <c r="C16" t="inlineStr">
        <is>
          <t>Accounting services</t>
        </is>
      </c>
    </row>
    <row r="17">
      <c r="A17" t="inlineStr">
        <is>
          <t>6004 IT Services</t>
        </is>
      </c>
      <c r="B17" s="5" t="n">
        <v>58800</v>
      </c>
      <c r="C17" t="inlineStr">
        <is>
          <t>IT infrastructure</t>
        </is>
      </c>
    </row>
    <row r="18">
      <c r="A18" t="inlineStr">
        <is>
          <t>6005 Human Resources Fees</t>
        </is>
      </c>
      <c r="B18" s="5" t="n">
        <v>30000</v>
      </c>
      <c r="C18" t="inlineStr">
        <is>
          <t>HR services</t>
        </is>
      </c>
    </row>
    <row r="19">
      <c r="A19" t="inlineStr">
        <is>
          <t>6009 Other Professional Fees</t>
        </is>
      </c>
      <c r="B19" s="5" t="n">
        <v>25000</v>
      </c>
      <c r="C19" t="inlineStr">
        <is>
          <t>Miscellaneous consulting</t>
        </is>
      </c>
    </row>
    <row r="20">
      <c r="A20" t="inlineStr">
        <is>
          <t>6201 Bank Fees</t>
        </is>
      </c>
      <c r="B20" s="5" t="n">
        <v>2000</v>
      </c>
      <c r="C20" t="inlineStr">
        <is>
          <t>Banking fees</t>
        </is>
      </c>
    </row>
    <row r="21">
      <c r="A21" t="inlineStr">
        <is>
          <t>6203 Utilities</t>
        </is>
      </c>
      <c r="B21" s="5" t="n">
        <v>12000</v>
      </c>
      <c r="C21" t="inlineStr">
        <is>
          <t>Office utilities</t>
        </is>
      </c>
    </row>
    <row r="22">
      <c r="A22" t="inlineStr">
        <is>
          <t>6205 Office Supplies</t>
        </is>
      </c>
      <c r="B22" s="5" t="n">
        <v>5000</v>
      </c>
      <c r="C22" t="inlineStr">
        <is>
          <t>Supplies</t>
        </is>
      </c>
    </row>
    <row r="23">
      <c r="A23" t="inlineStr">
        <is>
          <t>6207 Software Subscriptions</t>
        </is>
      </c>
      <c r="B23" s="5" t="n">
        <v>24000</v>
      </c>
      <c r="C23" t="inlineStr">
        <is>
          <t>Software licenses</t>
        </is>
      </c>
    </row>
    <row r="24">
      <c r="A24" t="inlineStr">
        <is>
          <t>6301 D&amp;O Insurance</t>
        </is>
      </c>
      <c r="B24" s="5" t="n">
        <v>43925</v>
      </c>
      <c r="C24" t="inlineStr">
        <is>
          <t>Directors &amp; Officers insurance</t>
        </is>
      </c>
    </row>
    <row r="25">
      <c r="A25" t="inlineStr">
        <is>
          <t>6401 Marketing &amp; Promotion</t>
        </is>
      </c>
      <c r="B25" s="5" t="n">
        <v>61000</v>
      </c>
      <c r="C25" t="inlineStr">
        <is>
          <t>Marketing expenses</t>
        </is>
      </c>
    </row>
    <row r="26">
      <c r="A26" s="6" t="inlineStr">
        <is>
          <t>Total Expenses</t>
        </is>
      </c>
      <c r="B26" s="7">
        <f>SUM(B10:B25)</f>
        <v/>
      </c>
    </row>
    <row r="28">
      <c r="A28" s="12" t="inlineStr">
        <is>
          <t>Net Income</t>
        </is>
      </c>
      <c r="B28" s="16">
        <f>B7-B26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</cols>
  <sheetData>
    <row r="1">
      <c r="A1" s="12" t="inlineStr">
        <is>
          <t>Products and IP</t>
        </is>
      </c>
    </row>
    <row r="2">
      <c r="A2" s="4" t="inlineStr">
        <is>
          <t>IP</t>
        </is>
      </c>
      <c r="B2" s="4" t="inlineStr">
        <is>
          <t>Projected Revenue</t>
        </is>
      </c>
      <c r="C2" s="4" t="inlineStr">
        <is>
          <t>Notes</t>
        </is>
      </c>
    </row>
    <row r="3">
      <c r="A3" t="inlineStr">
        <is>
          <t>Ovivo</t>
        </is>
      </c>
      <c r="B3" s="5" t="n">
        <v>100000</v>
      </c>
      <c r="C3" t="inlineStr">
        <is>
          <t>Minimum Contract Amount</t>
        </is>
      </c>
    </row>
    <row r="4">
      <c r="A4" t="inlineStr">
        <is>
          <t>inDense</t>
        </is>
      </c>
      <c r="B4" s="5" t="n">
        <v>93000</v>
      </c>
      <c r="C4" t="inlineStr">
        <is>
          <t>25% royalty on ARA projected €341k</t>
        </is>
      </c>
    </row>
    <row r="5">
      <c r="A5" t="inlineStr">
        <is>
          <t>DEMON</t>
        </is>
      </c>
      <c r="B5" s="5" t="n">
        <v>156000</v>
      </c>
      <c r="C5" t="inlineStr">
        <is>
          <t>50% royalty on ARA projected $315k</t>
        </is>
      </c>
    </row>
    <row r="6">
      <c r="A6" t="inlineStr">
        <is>
          <t>LayerMark</t>
        </is>
      </c>
      <c r="B6" s="5" t="n">
        <v>0</v>
      </c>
      <c r="C6" t="inlineStr">
        <is>
          <t>TBD</t>
        </is>
      </c>
    </row>
    <row r="7">
      <c r="A7" s="6" t="inlineStr">
        <is>
          <t>Total</t>
        </is>
      </c>
      <c r="B7" s="7">
        <f>SUM(B3:B6)</f>
        <v/>
      </c>
    </row>
    <row r="10">
      <c r="A10" s="12" t="inlineStr">
        <is>
          <t>Wendy's Store</t>
        </is>
      </c>
    </row>
    <row r="11">
      <c r="A11" s="4" t="inlineStr">
        <is>
          <t>Product</t>
        </is>
      </c>
      <c r="B11" s="4" t="inlineStr">
        <is>
          <t>Amount Sold</t>
        </is>
      </c>
    </row>
    <row r="12">
      <c r="A12" t="inlineStr">
        <is>
          <t>Book</t>
        </is>
      </c>
      <c r="B12" s="5" t="n">
        <v>500</v>
      </c>
    </row>
    <row r="13">
      <c r="A13" t="inlineStr">
        <is>
          <t>Book to Utilities</t>
        </is>
      </c>
      <c r="B13" s="5" t="n">
        <v>2000</v>
      </c>
    </row>
    <row r="14">
      <c r="A14" t="inlineStr">
        <is>
          <t>Store</t>
        </is>
      </c>
      <c r="B14" s="5" t="n">
        <v>250</v>
      </c>
    </row>
    <row r="15">
      <c r="A15" s="6" t="inlineStr">
        <is>
          <t>Total</t>
        </is>
      </c>
      <c r="B15" s="7">
        <f>SUM(B12:B14)</f>
        <v/>
      </c>
    </row>
    <row r="18">
      <c r="A18" s="12" t="inlineStr">
        <is>
          <t>Cell Towers</t>
        </is>
      </c>
    </row>
    <row r="19">
      <c r="A19" s="4" t="inlineStr">
        <is>
          <t>Location</t>
        </is>
      </c>
      <c r="B19" s="4" t="inlineStr">
        <is>
          <t>Carrier</t>
        </is>
      </c>
      <c r="C19" s="4" t="inlineStr">
        <is>
          <t>Annual Amount</t>
        </is>
      </c>
    </row>
    <row r="20">
      <c r="A20" t="inlineStr">
        <is>
          <t>2500 25th St SE</t>
        </is>
      </c>
      <c r="B20" t="inlineStr">
        <is>
          <t>AT&amp;T</t>
        </is>
      </c>
      <c r="C20" s="5" t="n">
        <v>53240.48</v>
      </c>
    </row>
    <row r="21">
      <c r="A21" t="inlineStr">
        <is>
          <t>2500 25th St SE</t>
        </is>
      </c>
      <c r="B21" t="inlineStr">
        <is>
          <t>Dish</t>
        </is>
      </c>
      <c r="C21" s="5" t="n">
        <v>28538.47</v>
      </c>
    </row>
    <row r="22">
      <c r="A22" t="inlineStr">
        <is>
          <t>5000 Overlook Ave SW</t>
        </is>
      </c>
      <c r="B22" t="inlineStr">
        <is>
          <t>Verizon</t>
        </is>
      </c>
      <c r="C22" s="5" t="n">
        <v>0</v>
      </c>
    </row>
    <row r="23">
      <c r="A23" t="inlineStr">
        <is>
          <t>5000 Overlook Ave SW</t>
        </is>
      </c>
      <c r="B23" t="inlineStr">
        <is>
          <t>New Cingular</t>
        </is>
      </c>
      <c r="C23" s="5" t="n">
        <v>43892.91</v>
      </c>
    </row>
    <row r="24">
      <c r="A24" t="inlineStr">
        <is>
          <t>5000 Overlook Ave SW</t>
        </is>
      </c>
      <c r="B24" t="inlineStr">
        <is>
          <t>T-Mobile-new</t>
        </is>
      </c>
      <c r="C24" s="5" t="n">
        <v>54300</v>
      </c>
    </row>
    <row r="25">
      <c r="A25" s="6" t="inlineStr">
        <is>
          <t>Total</t>
        </is>
      </c>
      <c r="C25" s="7">
        <f>SUM(C20:C24)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FY26 Budget Dashboard</t>
        </is>
      </c>
    </row>
    <row r="4">
      <c r="A4" s="12" t="inlineStr">
        <is>
          <t>Revenue by Category</t>
        </is>
      </c>
    </row>
    <row r="5">
      <c r="A5" s="4" t="inlineStr">
        <is>
          <t>Category</t>
        </is>
      </c>
      <c r="B5" s="4" t="inlineStr">
        <is>
          <t>Amount</t>
        </is>
      </c>
    </row>
    <row r="6">
      <c r="A6" t="inlineStr">
        <is>
          <t>RECs</t>
        </is>
      </c>
      <c r="B6" s="11" t="n">
        <v>4879001</v>
      </c>
    </row>
    <row r="7">
      <c r="A7" t="inlineStr">
        <is>
          <t>Bloom Marketing</t>
        </is>
      </c>
      <c r="B7" s="11" t="n">
        <v>3304938</v>
      </c>
    </row>
    <row r="8">
      <c r="A8" t="inlineStr">
        <is>
          <t>Events</t>
        </is>
      </c>
      <c r="B8" s="11" t="n">
        <v>696000</v>
      </c>
    </row>
    <row r="9">
      <c r="A9" t="inlineStr">
        <is>
          <t>IP &amp; Products</t>
        </is>
      </c>
      <c r="B9" s="11" t="n">
        <v>340929</v>
      </c>
    </row>
    <row r="10">
      <c r="A10" t="inlineStr">
        <is>
          <t>Cell Towers</t>
        </is>
      </c>
      <c r="B10" s="11" t="n">
        <v>179972</v>
      </c>
    </row>
    <row r="11">
      <c r="A11" t="inlineStr">
        <is>
          <t>Interest &amp; Other</t>
        </is>
      </c>
      <c r="B11" s="11" t="n">
        <v>290000</v>
      </c>
    </row>
    <row r="12">
      <c r="A12" t="inlineStr">
        <is>
          <t>Store</t>
        </is>
      </c>
      <c r="B12" s="11" t="n">
        <v>2750</v>
      </c>
    </row>
    <row r="16">
      <c r="A16" s="12" t="inlineStr">
        <is>
          <t>Net Income by Segment</t>
        </is>
      </c>
    </row>
    <row r="17">
      <c r="A17" s="4" t="inlineStr">
        <is>
          <t>Segment</t>
        </is>
      </c>
      <c r="B17" s="4" t="inlineStr">
        <is>
          <t>Net Income</t>
        </is>
      </c>
    </row>
    <row r="18">
      <c r="A18" t="inlineStr">
        <is>
          <t>RECs</t>
        </is>
      </c>
      <c r="B18" s="11" t="n">
        <v>4661198</v>
      </c>
    </row>
    <row r="19">
      <c r="A19" t="inlineStr">
        <is>
          <t>IP &amp; Products</t>
        </is>
      </c>
      <c r="B19" s="11" t="n">
        <v>184671</v>
      </c>
    </row>
    <row r="20">
      <c r="A20" t="inlineStr">
        <is>
          <t>Admin/Other</t>
        </is>
      </c>
      <c r="B20" s="11" t="n">
        <v>-159322</v>
      </c>
    </row>
    <row r="21">
      <c r="A21" t="inlineStr">
        <is>
          <t>Bloom Combined</t>
        </is>
      </c>
      <c r="B21" s="11" t="n">
        <v>159781</v>
      </c>
    </row>
    <row r="22">
      <c r="A22" t="inlineStr">
        <is>
          <t>Events</t>
        </is>
      </c>
      <c r="B22" s="11" t="n">
        <v>127490</v>
      </c>
    </row>
    <row r="25">
      <c r="A25" s="12" t="inlineStr">
        <is>
          <t>Key Metrics</t>
        </is>
      </c>
    </row>
    <row r="26">
      <c r="A26" t="inlineStr">
        <is>
          <t>Total Revenue</t>
        </is>
      </c>
      <c r="B26" s="11">
        <f>'FY26 Budget Highest Level'!B17</f>
        <v/>
      </c>
    </row>
    <row r="27">
      <c r="A27" t="inlineStr">
        <is>
          <t>Total Expenses</t>
        </is>
      </c>
      <c r="B27" s="11">
        <f>'FY26 Budget Highest Level'!B27</f>
        <v/>
      </c>
    </row>
    <row r="28">
      <c r="A28" t="inlineStr">
        <is>
          <t>Net Profit</t>
        </is>
      </c>
      <c r="B28" s="11">
        <f>'FY26 Budget Highest Level'!B29</f>
        <v/>
      </c>
    </row>
    <row r="29">
      <c r="A29" t="inlineStr">
        <is>
          <t>Profit Margin</t>
        </is>
      </c>
      <c r="B29" s="18">
        <f>B28/B26</f>
        <v/>
      </c>
    </row>
    <row r="30">
      <c r="A30" t="inlineStr">
        <is>
          <t>Total Compensation</t>
        </is>
      </c>
      <c r="B30" s="11">
        <f>'Compensation Math'!J20</f>
        <v/>
      </c>
    </row>
    <row r="35">
      <c r="A35" s="12" t="inlineStr">
        <is>
          <t>YTD vs Q1 Budget Variance</t>
        </is>
      </c>
    </row>
    <row r="36">
      <c r="A36" s="4" t="inlineStr">
        <is>
          <t>Category</t>
        </is>
      </c>
      <c r="B36" s="4" t="inlineStr">
        <is>
          <t>Q1 Budget</t>
        </is>
      </c>
      <c r="C36" s="4" t="inlineStr">
        <is>
          <t>YTD Actual</t>
        </is>
      </c>
    </row>
    <row r="37">
      <c r="A37" t="inlineStr">
        <is>
          <t>RECs</t>
        </is>
      </c>
      <c r="B37" s="21" t="n">
        <v>1215163</v>
      </c>
      <c r="C37" s="21" t="n">
        <v>2518742</v>
      </c>
    </row>
    <row r="38">
      <c r="A38" t="inlineStr">
        <is>
          <t>Bloom Mktg</t>
        </is>
      </c>
      <c r="B38" s="21" t="n">
        <v>826235</v>
      </c>
      <c r="C38" s="21" t="n">
        <v>261185</v>
      </c>
    </row>
    <row r="39">
      <c r="A39" t="inlineStr">
        <is>
          <t>Events</t>
        </is>
      </c>
      <c r="B39" s="21" t="n">
        <v>174000</v>
      </c>
      <c r="C39" s="21" t="n">
        <v>43299</v>
      </c>
    </row>
    <row r="40">
      <c r="A40" t="inlineStr">
        <is>
          <t>IP</t>
        </is>
      </c>
      <c r="B40" s="21" t="n">
        <v>85232</v>
      </c>
      <c r="C40" s="21" t="n">
        <v>61500</v>
      </c>
    </row>
    <row r="41">
      <c r="A41" t="inlineStr">
        <is>
          <t>Interest</t>
        </is>
      </c>
      <c r="B41" s="21" t="n">
        <v>72500</v>
      </c>
      <c r="C41" s="21" t="n">
        <v>72048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</cols>
  <sheetData>
    <row r="1">
      <c r="A1" s="1" t="inlineStr">
        <is>
          <t>Budget Review Process</t>
        </is>
      </c>
    </row>
    <row r="3">
      <c r="A3" s="12" t="inlineStr">
        <is>
          <t>Review Schedule</t>
        </is>
      </c>
    </row>
    <row r="4">
      <c r="A4" s="4" t="inlineStr">
        <is>
          <t>Frequency</t>
        </is>
      </c>
      <c r="B4" s="4" t="inlineStr">
        <is>
          <t>Activity</t>
        </is>
      </c>
      <c r="C4" s="4" t="inlineStr">
        <is>
          <t>Responsible</t>
        </is>
      </c>
    </row>
    <row r="5">
      <c r="A5" t="inlineStr">
        <is>
          <t>Weekly</t>
        </is>
      </c>
      <c r="B5" t="inlineStr">
        <is>
          <t>Cash position review</t>
        </is>
      </c>
      <c r="C5" t="inlineStr">
        <is>
          <t>CFO</t>
        </is>
      </c>
    </row>
    <row r="6">
      <c r="A6" t="inlineStr">
        <is>
          <t>Monthly</t>
        </is>
      </c>
      <c r="B6" t="inlineStr">
        <is>
          <t>Variance analysis vs budget</t>
        </is>
      </c>
      <c r="C6" t="inlineStr">
        <is>
          <t>CFO + Budget Owners</t>
        </is>
      </c>
    </row>
    <row r="7">
      <c r="A7" t="inlineStr">
        <is>
          <t>Quarterly</t>
        </is>
      </c>
      <c r="B7" t="inlineStr">
        <is>
          <t>Board financial presentation</t>
        </is>
      </c>
      <c r="C7" t="inlineStr">
        <is>
          <t>CFO + CEO</t>
        </is>
      </c>
    </row>
    <row r="8">
      <c r="A8" t="inlineStr">
        <is>
          <t>Annual</t>
        </is>
      </c>
      <c r="B8" t="inlineStr">
        <is>
          <t>Full budget revision</t>
        </is>
      </c>
      <c r="C8" t="inlineStr">
        <is>
          <t>Leadership Team</t>
        </is>
      </c>
    </row>
    <row r="11">
      <c r="A11" s="12" t="inlineStr">
        <is>
          <t>Variance Thresholds</t>
        </is>
      </c>
    </row>
    <row r="12">
      <c r="A12" s="4" t="inlineStr">
        <is>
          <t>Variance</t>
        </is>
      </c>
      <c r="B12" s="4" t="inlineStr">
        <is>
          <t>Action</t>
        </is>
      </c>
      <c r="C12" s="4" t="inlineStr">
        <is>
          <t>Requirement</t>
        </is>
      </c>
    </row>
    <row r="13">
      <c r="A13" t="inlineStr">
        <is>
          <t>&lt; ±5%</t>
        </is>
      </c>
      <c r="B13" t="inlineStr">
        <is>
          <t>Monitor only</t>
        </is>
      </c>
      <c r="C13" t="inlineStr">
        <is>
          <t>No action required</t>
        </is>
      </c>
    </row>
    <row r="14">
      <c r="A14" t="inlineStr">
        <is>
          <t>±5% to ±10%</t>
        </is>
      </c>
      <c r="B14" t="inlineStr">
        <is>
          <t>Investigation</t>
        </is>
      </c>
      <c r="C14" t="inlineStr">
        <is>
          <t>Document reason for variance</t>
        </is>
      </c>
    </row>
    <row r="15">
      <c r="A15" t="inlineStr">
        <is>
          <t>±10% to ±20%</t>
        </is>
      </c>
      <c r="B15" t="inlineStr">
        <is>
          <t>Management review</t>
        </is>
      </c>
      <c r="C15" t="inlineStr">
        <is>
          <t>Present to leadership</t>
        </is>
      </c>
    </row>
    <row r="16">
      <c r="A16" t="inlineStr">
        <is>
          <t>&gt; ±20%</t>
        </is>
      </c>
      <c r="B16" t="inlineStr">
        <is>
          <t>Board notification</t>
        </is>
      </c>
      <c r="C16" t="inlineStr">
        <is>
          <t>Include in board report</t>
        </is>
      </c>
    </row>
    <row r="19">
      <c r="A19" s="12" t="inlineStr">
        <is>
          <t>Budget Owners</t>
        </is>
      </c>
    </row>
    <row r="20">
      <c r="A20" s="4" t="inlineStr">
        <is>
          <t>Budget Area</t>
        </is>
      </c>
      <c r="B20" s="4" t="inlineStr">
        <is>
          <t>Owner</t>
        </is>
      </c>
    </row>
    <row r="21">
      <c r="A21" t="inlineStr">
        <is>
          <t>RECs</t>
        </is>
      </c>
      <c r="B21" t="inlineStr">
        <is>
          <t>Chris / Adam</t>
        </is>
      </c>
    </row>
    <row r="22">
      <c r="A22" t="inlineStr">
        <is>
          <t>Bloom Marketing</t>
        </is>
      </c>
      <c r="B22" t="inlineStr">
        <is>
          <t>April / Holly</t>
        </is>
      </c>
    </row>
    <row r="23">
      <c r="A23" t="inlineStr">
        <is>
          <t>Bloom Sales</t>
        </is>
      </c>
      <c r="B23" t="inlineStr">
        <is>
          <t>Victoria / Cooper</t>
        </is>
      </c>
    </row>
    <row r="24">
      <c r="A24" t="inlineStr">
        <is>
          <t>Events</t>
        </is>
      </c>
      <c r="B24" t="inlineStr">
        <is>
          <t>Raul / Lovesha</t>
        </is>
      </c>
    </row>
    <row r="25">
      <c r="A25" t="inlineStr">
        <is>
          <t>IP &amp; Products</t>
        </is>
      </c>
      <c r="B25" t="inlineStr">
        <is>
          <t>Adam</t>
        </is>
      </c>
    </row>
    <row r="26">
      <c r="A26" t="inlineStr">
        <is>
          <t>Administration</t>
        </is>
      </c>
      <c r="B26" t="inlineStr">
        <is>
          <t>Lovesha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2026-01-19T20:47:33Z</dcterms:created>
  <dcterms:modified xmlns:dcterms="http://purl.org/dc/terms/" xmlns:xsi="http://www.w3.org/2001/XMLSchema-instance" xsi:type="dcterms:W3CDTF">2026-01-19T20:50:49Z</dcterms:modified>
</cp:coreProperties>
</file>