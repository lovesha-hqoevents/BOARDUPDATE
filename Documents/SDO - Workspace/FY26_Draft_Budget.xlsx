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YTD vs Budget" sheetId="2" state="visible" r:id="rId2"/>
    <sheet xmlns:r="http://schemas.openxmlformats.org/officeDocument/2006/relationships" name="Monthly Tracking" sheetId="3" state="visible" r:id="rId3"/>
    <sheet xmlns:r="http://schemas.openxmlformats.org/officeDocument/2006/relationships" name="Review Process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&quot;$&quot;#,##0"/>
    <numFmt numFmtId="166" formatCode="0.0%"/>
    <numFmt numFmtId="167" formatCode="&quot;$&quot;#,##0;(&quot;$&quot;#,##0)"/>
  </numFmts>
  <fonts count="7">
    <font>
      <name val="Calibri"/>
      <family val="2"/>
      <color theme="1"/>
      <sz val="11"/>
      <scheme val="minor"/>
    </font>
    <font>
      <b val="1"/>
      <color rgb="000077B6"/>
      <sz val="14"/>
    </font>
    <font>
      <b val="1"/>
      <color rgb="00FFFFFF"/>
      <sz val="11"/>
    </font>
    <font>
      <b val="1"/>
      <sz val="11"/>
    </font>
    <font>
      <color rgb="000000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0077B6"/>
      </patternFill>
    </fill>
    <fill>
      <patternFill patternType="solid">
        <fgColor rgb="00FFFF99"/>
      </patternFill>
    </fill>
    <fill>
      <patternFill patternType="solid">
        <fgColor rgb="00CA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5" fontId="0" fillId="0" borderId="0" pivotButton="0" quotePrefix="0" xfId="0"/>
    <xf numFmtId="165" fontId="4" fillId="3" borderId="0" pivotButton="0" quotePrefix="0" xfId="0"/>
    <xf numFmtId="165" fontId="3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Blue Drop, LLC - FY26 Draft Budget</t>
        </is>
      </c>
    </row>
    <row r="2">
      <c r="A2" t="inlineStr">
        <is>
          <t>Fiscal Year: October 1, 2025 - September 30, 2026</t>
        </is>
      </c>
    </row>
    <row r="3">
      <c r="A3" t="inlineStr">
        <is>
          <t>Last Updated:</t>
        </is>
      </c>
      <c r="B3" s="2">
        <f>TODAY()</f>
        <v/>
      </c>
    </row>
    <row r="5">
      <c r="A5" s="3" t="inlineStr">
        <is>
          <t>Category</t>
        </is>
      </c>
      <c r="B5" s="4" t="inlineStr">
        <is>
          <t>Administration</t>
        </is>
      </c>
      <c r="C5" s="4" t="inlineStr">
        <is>
          <t>Bloom Marketing</t>
        </is>
      </c>
      <c r="D5" s="4" t="inlineStr">
        <is>
          <t>Bloom Sales</t>
        </is>
      </c>
      <c r="E5" s="4" t="inlineStr">
        <is>
          <t>Cell Towers</t>
        </is>
      </c>
      <c r="F5" s="4" t="inlineStr">
        <is>
          <t>DC Water Innovations</t>
        </is>
      </c>
      <c r="G5" s="4" t="inlineStr">
        <is>
          <t>Events</t>
        </is>
      </c>
      <c r="H5" s="4" t="inlineStr">
        <is>
          <t>RECs</t>
        </is>
      </c>
      <c r="I5" s="4" t="inlineStr">
        <is>
          <t>Store</t>
        </is>
      </c>
      <c r="J5" s="4" t="inlineStr">
        <is>
          <t>Total</t>
        </is>
      </c>
    </row>
    <row r="7">
      <c r="A7" s="5" t="inlineStr">
        <is>
          <t>REVENUE</t>
        </is>
      </c>
    </row>
    <row r="8">
      <c r="A8" t="inlineStr">
        <is>
          <t>Bloom Sales</t>
        </is>
      </c>
      <c r="B8" s="6" t="n">
        <v>0</v>
      </c>
      <c r="C8" s="6" t="n">
        <v>0</v>
      </c>
      <c r="D8" s="7" t="n">
        <v>425000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>
        <f>SUM(B8:I8)</f>
        <v/>
      </c>
    </row>
    <row r="9">
      <c r="A9" t="inlineStr">
        <is>
          <t>Bloom Deliveries</t>
        </is>
      </c>
      <c r="B9" s="6" t="n">
        <v>0</v>
      </c>
      <c r="C9" s="6" t="n">
        <v>0</v>
      </c>
      <c r="D9" s="7" t="n">
        <v>125000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>
        <f>SUM(B9:I9)</f>
        <v/>
      </c>
    </row>
    <row r="10">
      <c r="A10" t="inlineStr">
        <is>
          <t>Bloom Hauling - DC Water</t>
        </is>
      </c>
      <c r="B10" s="6" t="n">
        <v>0</v>
      </c>
      <c r="C10" s="7" t="n">
        <v>1501808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>
        <f>SUM(B10:I10)</f>
        <v/>
      </c>
    </row>
    <row r="11">
      <c r="A11" t="inlineStr">
        <is>
          <t>Bloom Marketing Fee</t>
        </is>
      </c>
      <c r="B11" s="6" t="n">
        <v>0</v>
      </c>
      <c r="C11" s="7" t="n">
        <v>1054130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>
        <f>SUM(B11:I11)</f>
        <v/>
      </c>
    </row>
    <row r="12">
      <c r="A12" t="inlineStr">
        <is>
          <t>Land App/Storage Reimbursement</t>
        </is>
      </c>
      <c r="B12" s="6" t="n">
        <v>0</v>
      </c>
      <c r="C12" s="7" t="n">
        <v>749000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>
        <f>SUM(B12:I12)</f>
        <v/>
      </c>
    </row>
    <row r="13">
      <c r="A13" t="inlineStr">
        <is>
          <t>Products and IP Revenue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7" t="n">
        <v>340929</v>
      </c>
      <c r="G13" s="6" t="n">
        <v>0</v>
      </c>
      <c r="H13" s="6" t="n">
        <v>0</v>
      </c>
      <c r="I13" s="6" t="n">
        <v>0</v>
      </c>
      <c r="J13" s="6">
        <f>SUM(B13:I13)</f>
        <v/>
      </c>
    </row>
    <row r="14">
      <c r="A14" t="inlineStr">
        <is>
          <t>Event Rental Revenue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7" t="n">
        <v>696000</v>
      </c>
      <c r="H14" s="6" t="n">
        <v>0</v>
      </c>
      <c r="I14" s="6" t="n">
        <v>0</v>
      </c>
      <c r="J14" s="6">
        <f>SUM(B14:I14)</f>
        <v/>
      </c>
    </row>
    <row r="15">
      <c r="A15" t="inlineStr">
        <is>
          <t>REC Sales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7" t="n">
        <v>4360650</v>
      </c>
      <c r="I15" s="6" t="n">
        <v>0</v>
      </c>
      <c r="J15" s="6">
        <f>SUM(B15:I15)</f>
        <v/>
      </c>
    </row>
    <row r="16">
      <c r="A16" t="inlineStr">
        <is>
          <t>Solar REC Sales (NEW)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7" t="n">
        <v>500000</v>
      </c>
      <c r="I16" s="6" t="n">
        <v>0</v>
      </c>
      <c r="J16" s="6">
        <f>SUM(B16:I16)</f>
        <v/>
      </c>
    </row>
    <row r="17">
      <c r="A17" t="inlineStr">
        <is>
          <t>REC Admin Fee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7" t="n">
        <v>50000</v>
      </c>
      <c r="I17" s="6" t="n">
        <v>0</v>
      </c>
      <c r="J17" s="6">
        <f>SUM(B17:I17)</f>
        <v/>
      </c>
    </row>
    <row r="18">
      <c r="A18" t="inlineStr">
        <is>
          <t>Cell Tower Revenue</t>
        </is>
      </c>
      <c r="B18" s="6" t="n">
        <v>0</v>
      </c>
      <c r="C18" s="6" t="n">
        <v>0</v>
      </c>
      <c r="D18" s="6" t="n">
        <v>0</v>
      </c>
      <c r="E18" s="7" t="n">
        <v>179972</v>
      </c>
      <c r="F18" s="6" t="n">
        <v>0</v>
      </c>
      <c r="G18" s="6" t="n">
        <v>0</v>
      </c>
      <c r="H18" s="6" t="n">
        <v>0</v>
      </c>
      <c r="I18" s="6" t="n">
        <v>0</v>
      </c>
      <c r="J18" s="6">
        <f>SUM(B18:I18)</f>
        <v/>
      </c>
    </row>
    <row r="19">
      <c r="A19" t="inlineStr">
        <is>
          <t>Demand Response Payments</t>
        </is>
      </c>
      <c r="B19" s="7" t="n">
        <v>10000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>
        <f>SUM(B19:I19)</f>
        <v/>
      </c>
    </row>
    <row r="20">
      <c r="A20" t="inlineStr">
        <is>
          <t>Web Store/Merchandise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7" t="n">
        <v>2750</v>
      </c>
      <c r="J20" s="6">
        <f>SUM(B20:I20)</f>
        <v/>
      </c>
    </row>
    <row r="21">
      <c r="A21" t="inlineStr">
        <is>
          <t>Services Revenue</t>
        </is>
      </c>
      <c r="B21" s="6" t="n">
        <v>0</v>
      </c>
      <c r="C21" s="7" t="n">
        <v>48000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>
        <f>SUM(B21:I21)</f>
        <v/>
      </c>
    </row>
    <row r="22">
      <c r="A22" t="inlineStr">
        <is>
          <t>Interest Income</t>
        </is>
      </c>
      <c r="B22" s="7" t="n">
        <v>350000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>
        <f>SUM(B22:I22)</f>
        <v/>
      </c>
    </row>
    <row r="23">
      <c r="A23" s="5" t="inlineStr">
        <is>
          <t>TOTAL REVENUE</t>
        </is>
      </c>
      <c r="B23" s="8">
        <f>SUM(B8:B22)</f>
        <v/>
      </c>
      <c r="C23" s="8">
        <f>SUM(C8:C22)</f>
        <v/>
      </c>
      <c r="D23" s="8">
        <f>SUM(D8:D22)</f>
        <v/>
      </c>
      <c r="E23" s="8">
        <f>SUM(E8:E22)</f>
        <v/>
      </c>
      <c r="F23" s="8">
        <f>SUM(F8:F22)</f>
        <v/>
      </c>
      <c r="G23" s="8">
        <f>SUM(G8:G22)</f>
        <v/>
      </c>
      <c r="H23" s="8">
        <f>SUM(H8:H22)</f>
        <v/>
      </c>
      <c r="I23" s="8">
        <f>SUM(I8:I22)</f>
        <v/>
      </c>
      <c r="J23" s="8">
        <f>SUM(B23:I23)</f>
        <v/>
      </c>
    </row>
    <row r="25">
      <c r="A25" s="5" t="inlineStr">
        <is>
          <t>COST OF GOODS SOLD</t>
        </is>
      </c>
    </row>
    <row r="26">
      <c r="A26" t="inlineStr">
        <is>
          <t>Bloom Hauling COGS</t>
        </is>
      </c>
      <c r="B26" s="6" t="n">
        <v>0</v>
      </c>
      <c r="C26" s="7" t="n">
        <v>1400000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>
        <f>SUM(B26:I26)</f>
        <v/>
      </c>
    </row>
    <row r="27">
      <c r="A27" t="inlineStr">
        <is>
          <t>Blending Material</t>
        </is>
      </c>
      <c r="B27" s="6" t="n">
        <v>0</v>
      </c>
      <c r="C27" s="6" t="n">
        <v>0</v>
      </c>
      <c r="D27" s="7" t="n">
        <v>280000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>
        <f>SUM(B27:I27)</f>
        <v/>
      </c>
    </row>
    <row r="28">
      <c r="A28" t="inlineStr">
        <is>
          <t>Subcontractors - Events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7" t="n">
        <v>40000</v>
      </c>
      <c r="H28" s="6" t="n">
        <v>0</v>
      </c>
      <c r="I28" s="6" t="n">
        <v>0</v>
      </c>
      <c r="J28" s="6">
        <f>SUM(B28:I28)</f>
        <v/>
      </c>
    </row>
    <row r="29">
      <c r="A29" t="inlineStr">
        <is>
          <t>Subcontractors - RECs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7" t="n">
        <v>50000</v>
      </c>
      <c r="I29" s="6" t="n">
        <v>0</v>
      </c>
      <c r="J29" s="6">
        <f>SUM(B29:I29)</f>
        <v/>
      </c>
    </row>
    <row r="30">
      <c r="A30" s="5" t="inlineStr">
        <is>
          <t>TOTAL COGS</t>
        </is>
      </c>
      <c r="B30" s="8">
        <f>SUM(B26:B29)</f>
        <v/>
      </c>
      <c r="C30" s="8">
        <f>SUM(C26:C29)</f>
        <v/>
      </c>
      <c r="D30" s="8">
        <f>SUM(D26:D29)</f>
        <v/>
      </c>
      <c r="E30" s="8">
        <f>SUM(E26:E29)</f>
        <v/>
      </c>
      <c r="F30" s="8">
        <f>SUM(F26:F29)</f>
        <v/>
      </c>
      <c r="G30" s="8">
        <f>SUM(G26:G29)</f>
        <v/>
      </c>
      <c r="H30" s="8">
        <f>SUM(H26:H29)</f>
        <v/>
      </c>
      <c r="I30" s="8">
        <f>SUM(I26:I29)</f>
        <v/>
      </c>
      <c r="J30" s="8">
        <f>SUM(B30:I30)</f>
        <v/>
      </c>
    </row>
    <row r="32">
      <c r="A32" s="5" t="inlineStr">
        <is>
          <t>GROSS PROFIT</t>
        </is>
      </c>
      <c r="B32" s="8">
        <f>B23-B30</f>
        <v/>
      </c>
      <c r="C32" s="8">
        <f>C23-C30</f>
        <v/>
      </c>
      <c r="D32" s="8">
        <f>D23-D30</f>
        <v/>
      </c>
      <c r="E32" s="8">
        <f>E23-E30</f>
        <v/>
      </c>
      <c r="F32" s="8">
        <f>F23-F30</f>
        <v/>
      </c>
      <c r="G32" s="8">
        <f>G23-G30</f>
        <v/>
      </c>
      <c r="H32" s="8">
        <f>H23-H30</f>
        <v/>
      </c>
      <c r="I32" s="8">
        <f>I23-I30</f>
        <v/>
      </c>
      <c r="J32" s="8">
        <f>J23-J30</f>
        <v/>
      </c>
    </row>
    <row r="34">
      <c r="A34" s="5" t="inlineStr">
        <is>
          <t>OPERATING EXPENSES</t>
        </is>
      </c>
    </row>
    <row r="35">
      <c r="A35" t="inlineStr">
        <is>
          <t>Compensation - Salaries</t>
        </is>
      </c>
      <c r="B35" s="7" t="n">
        <v>280000</v>
      </c>
      <c r="C35" s="7" t="n">
        <v>420000</v>
      </c>
      <c r="D35" s="6" t="n">
        <v>0</v>
      </c>
      <c r="E35" s="6" t="n">
        <v>0</v>
      </c>
      <c r="F35" s="6" t="n">
        <v>0</v>
      </c>
      <c r="G35" s="7" t="n">
        <v>200000</v>
      </c>
      <c r="H35" s="6" t="n">
        <v>0</v>
      </c>
      <c r="I35" s="6" t="n">
        <v>0</v>
      </c>
      <c r="J35" s="6">
        <f>SUM(B35:I35)</f>
        <v/>
      </c>
    </row>
    <row r="36">
      <c r="A36" t="inlineStr">
        <is>
          <t>Compensation - Fringe</t>
        </is>
      </c>
      <c r="B36" s="7" t="n">
        <v>70000</v>
      </c>
      <c r="C36" s="7" t="n">
        <v>105000</v>
      </c>
      <c r="D36" s="6" t="n">
        <v>0</v>
      </c>
      <c r="E36" s="6" t="n">
        <v>0</v>
      </c>
      <c r="F36" s="6" t="n">
        <v>0</v>
      </c>
      <c r="G36" s="7" t="n">
        <v>50000</v>
      </c>
      <c r="H36" s="6" t="n">
        <v>0</v>
      </c>
      <c r="I36" s="6" t="n">
        <v>0</v>
      </c>
      <c r="J36" s="6">
        <f>SUM(B36:I36)</f>
        <v/>
      </c>
    </row>
    <row r="37">
      <c r="A37" t="inlineStr">
        <is>
          <t>Compensation - Payroll Taxes</t>
        </is>
      </c>
      <c r="B37" s="7" t="n">
        <v>28000</v>
      </c>
      <c r="C37" s="7" t="n">
        <v>42000</v>
      </c>
      <c r="D37" s="6" t="n">
        <v>0</v>
      </c>
      <c r="E37" s="6" t="n">
        <v>0</v>
      </c>
      <c r="F37" s="6" t="n">
        <v>0</v>
      </c>
      <c r="G37" s="7" t="n">
        <v>20000</v>
      </c>
      <c r="H37" s="6" t="n">
        <v>0</v>
      </c>
      <c r="I37" s="6" t="n">
        <v>0</v>
      </c>
      <c r="J37" s="6">
        <f>SUM(B37:I37)</f>
        <v/>
      </c>
    </row>
    <row r="38">
      <c r="A38" t="inlineStr">
        <is>
          <t>Compensation - Bonus</t>
        </is>
      </c>
      <c r="B38" s="7" t="n">
        <v>40000</v>
      </c>
      <c r="C38" s="7" t="n">
        <v>80000</v>
      </c>
      <c r="D38" s="6" t="n">
        <v>0</v>
      </c>
      <c r="E38" s="6" t="n">
        <v>0</v>
      </c>
      <c r="F38" s="6" t="n">
        <v>0</v>
      </c>
      <c r="G38" s="7" t="n">
        <v>20000</v>
      </c>
      <c r="H38" s="6" t="n">
        <v>0</v>
      </c>
      <c r="I38" s="6" t="n">
        <v>0</v>
      </c>
      <c r="J38" s="6">
        <f>SUM(B38:I38)</f>
        <v/>
      </c>
    </row>
    <row r="39">
      <c r="A39" t="inlineStr">
        <is>
          <t>Professional Fees - Legal</t>
        </is>
      </c>
      <c r="B39" s="7" t="n">
        <v>15000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>
        <f>SUM(B39:I39)</f>
        <v/>
      </c>
    </row>
    <row r="40">
      <c r="A40" t="inlineStr">
        <is>
          <t>Professional Fees - Audit</t>
        </is>
      </c>
      <c r="B40" s="7" t="n">
        <v>30000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>
        <f>SUM(B40:I40)</f>
        <v/>
      </c>
    </row>
    <row r="41">
      <c r="A41" t="inlineStr">
        <is>
          <t>Professional Fees - Accounting</t>
        </is>
      </c>
      <c r="B41" s="7" t="n">
        <v>24000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>
        <f>SUM(B41:I41)</f>
        <v/>
      </c>
    </row>
    <row r="42">
      <c r="A42" t="inlineStr">
        <is>
          <t>Professional Fees - HR</t>
        </is>
      </c>
      <c r="B42" s="7" t="n">
        <v>12000</v>
      </c>
      <c r="C42" s="7" t="n">
        <v>8000</v>
      </c>
      <c r="D42" s="6" t="n">
        <v>0</v>
      </c>
      <c r="E42" s="6" t="n">
        <v>0</v>
      </c>
      <c r="F42" s="6" t="n">
        <v>0</v>
      </c>
      <c r="G42" s="7" t="n">
        <v>5000</v>
      </c>
      <c r="H42" s="6" t="n">
        <v>0</v>
      </c>
      <c r="I42" s="6" t="n">
        <v>0</v>
      </c>
      <c r="J42" s="6">
        <f>SUM(B42:I42)</f>
        <v/>
      </c>
    </row>
    <row r="43">
      <c r="A43" t="inlineStr">
        <is>
          <t>Professional Fees - Land App/Storage</t>
        </is>
      </c>
      <c r="B43" s="6" t="n">
        <v>0</v>
      </c>
      <c r="C43" s="7" t="n">
        <v>400000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>
        <f>SUM(B43:I43)</f>
        <v/>
      </c>
    </row>
    <row r="44">
      <c r="A44" t="inlineStr">
        <is>
          <t>Professional Fees - Other</t>
        </is>
      </c>
      <c r="B44" s="7" t="n">
        <v>5000</v>
      </c>
      <c r="C44" s="7" t="n">
        <v>30000</v>
      </c>
      <c r="D44" s="6" t="n">
        <v>0</v>
      </c>
      <c r="E44" s="6" t="n">
        <v>0</v>
      </c>
      <c r="F44" s="6" t="n">
        <v>0</v>
      </c>
      <c r="G44" s="7" t="n">
        <v>10000</v>
      </c>
      <c r="H44" s="6" t="n">
        <v>0</v>
      </c>
      <c r="I44" s="6" t="n">
        <v>0</v>
      </c>
      <c r="J44" s="6">
        <f>SUM(B44:I44)</f>
        <v/>
      </c>
    </row>
    <row r="45">
      <c r="A45" t="inlineStr">
        <is>
          <t>Travel &amp; Transportation</t>
        </is>
      </c>
      <c r="B45" s="7" t="n">
        <v>2000</v>
      </c>
      <c r="C45" s="7" t="n">
        <v>8000</v>
      </c>
      <c r="D45" s="6" t="n">
        <v>0</v>
      </c>
      <c r="E45" s="6" t="n">
        <v>0</v>
      </c>
      <c r="F45" s="6" t="n">
        <v>0</v>
      </c>
      <c r="G45" s="7" t="n">
        <v>2000</v>
      </c>
      <c r="H45" s="6" t="n">
        <v>0</v>
      </c>
      <c r="I45" s="6" t="n">
        <v>0</v>
      </c>
      <c r="J45" s="6">
        <f>SUM(B45:I45)</f>
        <v/>
      </c>
    </row>
    <row r="46">
      <c r="A46" t="inlineStr">
        <is>
          <t>Technology &amp; Software</t>
        </is>
      </c>
      <c r="B46" s="7" t="n">
        <v>15000</v>
      </c>
      <c r="C46" s="7" t="n">
        <v>8000</v>
      </c>
      <c r="D46" s="6" t="n">
        <v>0</v>
      </c>
      <c r="E46" s="6" t="n">
        <v>0</v>
      </c>
      <c r="F46" s="6" t="n">
        <v>0</v>
      </c>
      <c r="G46" s="7" t="n">
        <v>5000</v>
      </c>
      <c r="H46" s="7" t="n">
        <v>5000</v>
      </c>
      <c r="I46" s="6" t="n">
        <v>0</v>
      </c>
      <c r="J46" s="6">
        <f>SUM(B46:I46)</f>
        <v/>
      </c>
    </row>
    <row r="47">
      <c r="A47" t="inlineStr">
        <is>
          <t>Equipment Maintenance</t>
        </is>
      </c>
      <c r="B47" s="6" t="n">
        <v>0</v>
      </c>
      <c r="C47" s="7" t="n">
        <v>20000</v>
      </c>
      <c r="D47" s="6" t="n">
        <v>0</v>
      </c>
      <c r="E47" s="6" t="n">
        <v>0</v>
      </c>
      <c r="F47" s="6" t="n">
        <v>0</v>
      </c>
      <c r="G47" s="7" t="n">
        <v>5000</v>
      </c>
      <c r="H47" s="6" t="n">
        <v>0</v>
      </c>
      <c r="I47" s="6" t="n">
        <v>0</v>
      </c>
      <c r="J47" s="6">
        <f>SUM(B47:I47)</f>
        <v/>
      </c>
    </row>
    <row r="48">
      <c r="A48" t="inlineStr">
        <is>
          <t>Bank/Merchant Fees</t>
        </is>
      </c>
      <c r="B48" s="6" t="n">
        <v>0</v>
      </c>
      <c r="C48" s="7" t="n">
        <v>15000</v>
      </c>
      <c r="D48" s="6" t="n">
        <v>0</v>
      </c>
      <c r="E48" s="6" t="n">
        <v>0</v>
      </c>
      <c r="F48" s="6" t="n">
        <v>0</v>
      </c>
      <c r="G48" s="7" t="n">
        <v>3000</v>
      </c>
      <c r="H48" s="6" t="n">
        <v>0</v>
      </c>
      <c r="I48" s="7" t="n">
        <v>500</v>
      </c>
      <c r="J48" s="6">
        <f>SUM(B48:I48)</f>
        <v/>
      </c>
    </row>
    <row r="49">
      <c r="A49" t="inlineStr">
        <is>
          <t>Office Supplies</t>
        </is>
      </c>
      <c r="B49" s="7" t="n">
        <v>2000</v>
      </c>
      <c r="C49" s="7" t="n">
        <v>2000</v>
      </c>
      <c r="D49" s="6" t="n">
        <v>0</v>
      </c>
      <c r="E49" s="6" t="n">
        <v>0</v>
      </c>
      <c r="F49" s="6" t="n">
        <v>0</v>
      </c>
      <c r="G49" s="7" t="n">
        <v>2000</v>
      </c>
      <c r="H49" s="6" t="n">
        <v>0</v>
      </c>
      <c r="I49" s="6" t="n">
        <v>0</v>
      </c>
      <c r="J49" s="6">
        <f>SUM(B49:I49)</f>
        <v/>
      </c>
    </row>
    <row r="50">
      <c r="A50" t="inlineStr">
        <is>
          <t>Dues &amp; Subscriptions</t>
        </is>
      </c>
      <c r="B50" s="7" t="n">
        <v>40000</v>
      </c>
      <c r="C50" s="7" t="n">
        <v>20000</v>
      </c>
      <c r="D50" s="6" t="n">
        <v>0</v>
      </c>
      <c r="E50" s="6" t="n">
        <v>0</v>
      </c>
      <c r="F50" s="6" t="n">
        <v>0</v>
      </c>
      <c r="G50" s="7" t="n">
        <v>45000</v>
      </c>
      <c r="H50" s="7" t="n">
        <v>5000</v>
      </c>
      <c r="I50" s="6" t="n">
        <v>0</v>
      </c>
      <c r="J50" s="6">
        <f>SUM(B50:I50)</f>
        <v/>
      </c>
    </row>
    <row r="51">
      <c r="A51" t="inlineStr">
        <is>
          <t>Training &amp; Conferences</t>
        </is>
      </c>
      <c r="B51" s="7" t="n">
        <v>5000</v>
      </c>
      <c r="C51" s="7" t="n">
        <v>10000</v>
      </c>
      <c r="D51" s="6" t="n">
        <v>0</v>
      </c>
      <c r="E51" s="6" t="n">
        <v>0</v>
      </c>
      <c r="F51" s="6" t="n">
        <v>0</v>
      </c>
      <c r="G51" s="7" t="n">
        <v>5000</v>
      </c>
      <c r="H51" s="6" t="n">
        <v>0</v>
      </c>
      <c r="I51" s="6" t="n">
        <v>0</v>
      </c>
      <c r="J51" s="6">
        <f>SUM(B51:I51)</f>
        <v/>
      </c>
    </row>
    <row r="52">
      <c r="A52" t="inlineStr">
        <is>
          <t>Business Meals/Entertainment</t>
        </is>
      </c>
      <c r="B52" s="7" t="n">
        <v>8000</v>
      </c>
      <c r="C52" s="7" t="n">
        <v>5000</v>
      </c>
      <c r="D52" s="6" t="n">
        <v>0</v>
      </c>
      <c r="E52" s="6" t="n">
        <v>0</v>
      </c>
      <c r="F52" s="6" t="n">
        <v>0</v>
      </c>
      <c r="G52" s="7" t="n">
        <v>3000</v>
      </c>
      <c r="H52" s="6" t="n">
        <v>0</v>
      </c>
      <c r="I52" s="6" t="n">
        <v>0</v>
      </c>
      <c r="J52" s="6">
        <f>SUM(B52:I52)</f>
        <v/>
      </c>
    </row>
    <row r="53">
      <c r="A53" t="inlineStr">
        <is>
          <t>Depreciation</t>
        </is>
      </c>
      <c r="B53" s="7" t="n">
        <v>35000</v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>
        <f>SUM(B53:I53)</f>
        <v/>
      </c>
    </row>
    <row r="54">
      <c r="A54" t="inlineStr">
        <is>
          <t>Administration Other</t>
        </is>
      </c>
      <c r="B54" s="7" t="n">
        <v>15000</v>
      </c>
      <c r="C54" s="7" t="n">
        <v>5000</v>
      </c>
      <c r="D54" s="6" t="n">
        <v>0</v>
      </c>
      <c r="E54" s="6" t="n">
        <v>0</v>
      </c>
      <c r="F54" s="6" t="n">
        <v>0</v>
      </c>
      <c r="G54" s="7" t="n">
        <v>3000</v>
      </c>
      <c r="H54" s="6" t="n">
        <v>0</v>
      </c>
      <c r="I54" s="6" t="n">
        <v>0</v>
      </c>
      <c r="J54" s="6">
        <f>SUM(B54:I54)</f>
        <v/>
      </c>
    </row>
    <row r="55">
      <c r="A55" t="inlineStr">
        <is>
          <t>Employee Relations</t>
        </is>
      </c>
      <c r="B55" s="7" t="n">
        <v>10000</v>
      </c>
      <c r="C55" s="7" t="n">
        <v>3000</v>
      </c>
      <c r="D55" s="6" t="n">
        <v>0</v>
      </c>
      <c r="E55" s="6" t="n">
        <v>0</v>
      </c>
      <c r="F55" s="6" t="n">
        <v>0</v>
      </c>
      <c r="G55" s="7" t="n">
        <v>2000</v>
      </c>
      <c r="H55" s="6" t="n">
        <v>0</v>
      </c>
      <c r="I55" s="6" t="n">
        <v>0</v>
      </c>
      <c r="J55" s="6">
        <f>SUM(B55:I55)</f>
        <v/>
      </c>
    </row>
    <row r="56">
      <c r="A56" t="inlineStr">
        <is>
          <t>Insurance</t>
        </is>
      </c>
      <c r="B56" s="7" t="n">
        <v>25000</v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>
        <f>SUM(B56:I56)</f>
        <v/>
      </c>
    </row>
    <row r="57">
      <c r="A57" t="inlineStr">
        <is>
          <t>Licenses &amp; Permits</t>
        </is>
      </c>
      <c r="B57" s="7" t="n">
        <v>3000</v>
      </c>
      <c r="C57" s="6" t="n">
        <v>0</v>
      </c>
      <c r="D57" s="6" t="n">
        <v>0</v>
      </c>
      <c r="E57" s="6" t="n">
        <v>0</v>
      </c>
      <c r="F57" s="6" t="n">
        <v>0</v>
      </c>
      <c r="G57" s="7" t="n">
        <v>5000</v>
      </c>
      <c r="H57" s="6" t="n">
        <v>0</v>
      </c>
      <c r="I57" s="6" t="n">
        <v>0</v>
      </c>
      <c r="J57" s="6">
        <f>SUM(B57:I57)</f>
        <v/>
      </c>
    </row>
    <row r="58">
      <c r="A58" t="inlineStr">
        <is>
          <t>Marketing - Website</t>
        </is>
      </c>
      <c r="B58" s="6" t="n">
        <v>0</v>
      </c>
      <c r="C58" s="7" t="n">
        <v>10000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>
        <f>SUM(B58:I58)</f>
        <v/>
      </c>
    </row>
    <row r="59">
      <c r="A59" t="inlineStr">
        <is>
          <t>Marketing - Print/Promo</t>
        </is>
      </c>
      <c r="B59" s="6" t="n">
        <v>0</v>
      </c>
      <c r="C59" s="7" t="n">
        <v>8000</v>
      </c>
      <c r="D59" s="6" t="n">
        <v>0</v>
      </c>
      <c r="E59" s="6" t="n">
        <v>0</v>
      </c>
      <c r="F59" s="6" t="n">
        <v>0</v>
      </c>
      <c r="G59" s="7" t="n">
        <v>5000</v>
      </c>
      <c r="H59" s="6" t="n">
        <v>0</v>
      </c>
      <c r="I59" s="6" t="n">
        <v>0</v>
      </c>
      <c r="J59" s="6">
        <f>SUM(B59:I59)</f>
        <v/>
      </c>
    </row>
    <row r="60">
      <c r="A60" t="inlineStr">
        <is>
          <t>Marketing - Advertising</t>
        </is>
      </c>
      <c r="B60" s="6" t="n">
        <v>0</v>
      </c>
      <c r="C60" s="7" t="n">
        <v>15000</v>
      </c>
      <c r="D60" s="6" t="n">
        <v>0</v>
      </c>
      <c r="E60" s="6" t="n">
        <v>0</v>
      </c>
      <c r="F60" s="6" t="n">
        <v>0</v>
      </c>
      <c r="G60" s="7" t="n">
        <v>8000</v>
      </c>
      <c r="H60" s="6" t="n">
        <v>0</v>
      </c>
      <c r="I60" s="6" t="n">
        <v>0</v>
      </c>
      <c r="J60" s="6">
        <f>SUM(B60:I60)</f>
        <v/>
      </c>
    </row>
    <row r="61">
      <c r="A61" t="inlineStr">
        <is>
          <t>Taxes &amp; Licenses</t>
        </is>
      </c>
      <c r="B61" s="7" t="n">
        <v>5000</v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>
        <f>SUM(B61:I61)</f>
        <v/>
      </c>
    </row>
    <row r="62">
      <c r="A62" s="5" t="inlineStr">
        <is>
          <t>TOTAL OPERATING EXPENSES</t>
        </is>
      </c>
      <c r="B62" s="8">
        <f>SUM(B35:B61)</f>
        <v/>
      </c>
      <c r="C62" s="8">
        <f>SUM(C35:C61)</f>
        <v/>
      </c>
      <c r="D62" s="8">
        <f>SUM(D35:D61)</f>
        <v/>
      </c>
      <c r="E62" s="8">
        <f>SUM(E35:E61)</f>
        <v/>
      </c>
      <c r="F62" s="8">
        <f>SUM(F35:F61)</f>
        <v/>
      </c>
      <c r="G62" s="8">
        <f>SUM(G35:G61)</f>
        <v/>
      </c>
      <c r="H62" s="8">
        <f>SUM(H35:H61)</f>
        <v/>
      </c>
      <c r="I62" s="8">
        <f>SUM(I35:I61)</f>
        <v/>
      </c>
      <c r="J62" s="8">
        <f>SUM(B62:I62)</f>
        <v/>
      </c>
    </row>
    <row r="64">
      <c r="A64" s="9" t="inlineStr">
        <is>
          <t>NET OPERATING INCOME</t>
        </is>
      </c>
      <c r="B64" s="10">
        <f>B32-B62</f>
        <v/>
      </c>
      <c r="C64" s="10">
        <f>C32-C62</f>
        <v/>
      </c>
      <c r="D64" s="10">
        <f>D32-D62</f>
        <v/>
      </c>
      <c r="E64" s="10">
        <f>E32-E62</f>
        <v/>
      </c>
      <c r="F64" s="10">
        <f>F32-F62</f>
        <v/>
      </c>
      <c r="G64" s="10">
        <f>G32-G62</f>
        <v/>
      </c>
      <c r="H64" s="10">
        <f>H32-H62</f>
        <v/>
      </c>
      <c r="I64" s="10">
        <f>I32-I62</f>
        <v/>
      </c>
      <c r="J64" s="10">
        <f>J32-J62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Blue Drop, LLC - FY26 YTD Performance vs Budget</t>
        </is>
      </c>
    </row>
    <row r="2">
      <c r="A2" t="inlineStr">
        <is>
          <t>Through Date:</t>
        </is>
      </c>
      <c r="B2" t="inlineStr">
        <is>
          <t>January 19, 2026</t>
        </is>
      </c>
    </row>
    <row r="3">
      <c r="A3" t="inlineStr">
        <is>
          <t>Days into FY:</t>
        </is>
      </c>
      <c r="B3" t="n">
        <v>111</v>
      </c>
    </row>
    <row r="4">
      <c r="A4" t="inlineStr">
        <is>
          <t>% of Year:</t>
        </is>
      </c>
      <c r="B4" s="11">
        <f>B3/365</f>
        <v/>
      </c>
    </row>
    <row r="6">
      <c r="A6" s="4" t="inlineStr">
        <is>
          <t>Category</t>
        </is>
      </c>
      <c r="B6" s="4" t="inlineStr">
        <is>
          <t>FY26 Budget</t>
        </is>
      </c>
      <c r="C6" s="4" t="inlineStr">
        <is>
          <t>YTD Budget</t>
        </is>
      </c>
      <c r="D6" s="4" t="inlineStr">
        <is>
          <t>YTD Actual</t>
        </is>
      </c>
      <c r="E6" s="4" t="inlineStr">
        <is>
          <t>Variance $</t>
        </is>
      </c>
      <c r="F6" s="4" t="inlineStr">
        <is>
          <t>Variance %</t>
        </is>
      </c>
      <c r="G6" s="4" t="inlineStr">
        <is>
          <t>Full Year Forecast</t>
        </is>
      </c>
    </row>
    <row r="7">
      <c r="A7" s="5" t="inlineStr">
        <is>
          <t>REVENUE</t>
        </is>
      </c>
    </row>
    <row r="8">
      <c r="A8" t="inlineStr">
        <is>
          <t>RECs Revenue</t>
        </is>
      </c>
      <c r="B8" s="7" t="n">
        <v>4910650</v>
      </c>
      <c r="C8" s="6">
        <f>B8*$B$4</f>
        <v/>
      </c>
      <c r="D8" s="7" t="n">
        <v>2518742</v>
      </c>
      <c r="E8" s="12">
        <f>D8-C8</f>
        <v/>
      </c>
      <c r="F8" s="11">
        <f>IF(C8=0,0,E8/C8)</f>
        <v/>
      </c>
      <c r="G8" s="6">
        <f>IF($B$4=0,0,D8/$B$4)</f>
        <v/>
      </c>
    </row>
    <row r="9">
      <c r="A9" t="inlineStr">
        <is>
          <t>Bloom Marketing</t>
        </is>
      </c>
      <c r="B9" s="7" t="n">
        <v>3352938</v>
      </c>
      <c r="C9" s="6">
        <f>B9*$B$4</f>
        <v/>
      </c>
      <c r="D9" s="7" t="n">
        <v>261185</v>
      </c>
      <c r="E9" s="12">
        <f>D9-C9</f>
        <v/>
      </c>
      <c r="F9" s="11">
        <f>IF(C9=0,0,E9/C9)</f>
        <v/>
      </c>
      <c r="G9" s="6">
        <f>IF($B$4=0,0,D9/$B$4)</f>
        <v/>
      </c>
    </row>
    <row r="10">
      <c r="A10" t="inlineStr">
        <is>
          <t>Bloom Sales</t>
        </is>
      </c>
      <c r="B10" s="7" t="n">
        <v>550000</v>
      </c>
      <c r="C10" s="6">
        <f>B10*$B$4</f>
        <v/>
      </c>
      <c r="D10" s="7" t="n">
        <v>90769</v>
      </c>
      <c r="E10" s="12">
        <f>D10-C10</f>
        <v/>
      </c>
      <c r="F10" s="11">
        <f>IF(C10=0,0,E10/C10)</f>
        <v/>
      </c>
      <c r="G10" s="6">
        <f>IF($B$4=0,0,D10/$B$4)</f>
        <v/>
      </c>
    </row>
    <row r="11">
      <c r="A11" t="inlineStr">
        <is>
          <t>DC Water IP/Licensing</t>
        </is>
      </c>
      <c r="B11" s="7" t="n">
        <v>340929</v>
      </c>
      <c r="C11" s="6">
        <f>B11*$B$4</f>
        <v/>
      </c>
      <c r="D11" s="7" t="n">
        <v>61500</v>
      </c>
      <c r="E11" s="12">
        <f>D11-C11</f>
        <v/>
      </c>
      <c r="F11" s="11">
        <f>IF(C11=0,0,E11/C11)</f>
        <v/>
      </c>
      <c r="G11" s="6">
        <f>IF($B$4=0,0,D11/$B$4)</f>
        <v/>
      </c>
    </row>
    <row r="12">
      <c r="A12" t="inlineStr">
        <is>
          <t>Events Revenue</t>
        </is>
      </c>
      <c r="B12" s="7" t="n">
        <v>696000</v>
      </c>
      <c r="C12" s="6">
        <f>B12*$B$4</f>
        <v/>
      </c>
      <c r="D12" s="7" t="n">
        <v>43299</v>
      </c>
      <c r="E12" s="12">
        <f>D12-C12</f>
        <v/>
      </c>
      <c r="F12" s="11">
        <f>IF(C12=0,0,E12/C12)</f>
        <v/>
      </c>
      <c r="G12" s="6">
        <f>IF($B$4=0,0,D12/$B$4)</f>
        <v/>
      </c>
    </row>
    <row r="13">
      <c r="A13" t="inlineStr">
        <is>
          <t>Cell Towers</t>
        </is>
      </c>
      <c r="B13" s="7" t="n">
        <v>179972</v>
      </c>
      <c r="C13" s="6">
        <f>B13*$B$4</f>
        <v/>
      </c>
      <c r="D13" s="7" t="n">
        <v>43182</v>
      </c>
      <c r="E13" s="12">
        <f>D13-C13</f>
        <v/>
      </c>
      <c r="F13" s="11">
        <f>IF(C13=0,0,E13/C13)</f>
        <v/>
      </c>
      <c r="G13" s="6">
        <f>IF($B$4=0,0,D13/$B$4)</f>
        <v/>
      </c>
    </row>
    <row r="14">
      <c r="A14" t="inlineStr">
        <is>
          <t>Interest Income</t>
        </is>
      </c>
      <c r="B14" s="7" t="n">
        <v>350000</v>
      </c>
      <c r="C14" s="6">
        <f>B14*$B$4</f>
        <v/>
      </c>
      <c r="D14" s="7" t="n">
        <v>72048</v>
      </c>
      <c r="E14" s="12">
        <f>D14-C14</f>
        <v/>
      </c>
      <c r="F14" s="11">
        <f>IF(C14=0,0,E14/C14)</f>
        <v/>
      </c>
      <c r="G14" s="6">
        <f>IF($B$4=0,0,D14/$B$4)</f>
        <v/>
      </c>
    </row>
    <row r="15">
      <c r="A15" t="inlineStr">
        <is>
          <t>Other Revenue</t>
        </is>
      </c>
      <c r="B15" s="7" t="n">
        <v>50750</v>
      </c>
      <c r="C15" s="6">
        <f>B15*$B$4</f>
        <v/>
      </c>
      <c r="D15" s="7" t="n">
        <v>2179</v>
      </c>
      <c r="E15" s="12">
        <f>D15-C15</f>
        <v/>
      </c>
      <c r="F15" s="11">
        <f>IF(C15=0,0,E15/C15)</f>
        <v/>
      </c>
      <c r="G15" s="6">
        <f>IF($B$4=0,0,D15/$B$4)</f>
        <v/>
      </c>
    </row>
    <row r="16">
      <c r="A16" s="5" t="inlineStr">
        <is>
          <t>TOTAL REVENUE</t>
        </is>
      </c>
      <c r="B16" s="5">
        <f>SUM(B8:B15)</f>
        <v/>
      </c>
      <c r="C16" s="5">
        <f>SUM(C8:C15)</f>
        <v/>
      </c>
      <c r="D16" s="5">
        <f>SUM(D8:D15)</f>
        <v/>
      </c>
      <c r="E16" s="5">
        <f>SUM(E8:E15)</f>
        <v/>
      </c>
      <c r="F16" s="5">
        <f>SUM(F8:F15)</f>
        <v/>
      </c>
      <c r="G16" s="5">
        <f>SUM(G8:G15)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Blue Drop, LLC - FY26 Monthly Budget Tracking</t>
        </is>
      </c>
    </row>
    <row r="3">
      <c r="A3" s="3" t="inlineStr">
        <is>
          <t>Revenue Category</t>
        </is>
      </c>
      <c r="B3" s="4" t="inlineStr">
        <is>
          <t>Oct</t>
        </is>
      </c>
      <c r="C3" s="4" t="inlineStr">
        <is>
          <t>Nov</t>
        </is>
      </c>
      <c r="D3" s="4" t="inlineStr">
        <is>
          <t>Dec</t>
        </is>
      </c>
      <c r="E3" s="4" t="inlineStr">
        <is>
          <t>Jan</t>
        </is>
      </c>
      <c r="F3" s="4" t="inlineStr">
        <is>
          <t>Feb</t>
        </is>
      </c>
      <c r="G3" s="4" t="inlineStr">
        <is>
          <t>Mar</t>
        </is>
      </c>
      <c r="H3" s="4" t="inlineStr">
        <is>
          <t>Apr</t>
        </is>
      </c>
      <c r="I3" s="4" t="inlineStr">
        <is>
          <t>May</t>
        </is>
      </c>
      <c r="J3" s="4" t="inlineStr">
        <is>
          <t>Jun</t>
        </is>
      </c>
      <c r="K3" s="4" t="inlineStr">
        <is>
          <t>Jul</t>
        </is>
      </c>
      <c r="L3" s="4" t="inlineStr">
        <is>
          <t>Aug</t>
        </is>
      </c>
      <c r="M3" s="4" t="inlineStr">
        <is>
          <t>Sep</t>
        </is>
      </c>
      <c r="N3" s="4" t="inlineStr">
        <is>
          <t>FY Total</t>
        </is>
      </c>
    </row>
    <row r="4">
      <c r="A4" t="inlineStr">
        <is>
          <t>RECs Revenue</t>
        </is>
      </c>
      <c r="B4" s="7" t="n">
        <v>0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6">
        <f>SUM(B4:M4)</f>
        <v/>
      </c>
    </row>
    <row r="5">
      <c r="A5" t="inlineStr">
        <is>
          <t>Bloom Marketing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6">
        <f>SUM(B5:M5)</f>
        <v/>
      </c>
    </row>
    <row r="6">
      <c r="A6" t="inlineStr">
        <is>
          <t>Bloom Sales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6">
        <f>SUM(B6:M6)</f>
        <v/>
      </c>
    </row>
    <row r="7">
      <c r="A7" t="inlineStr">
        <is>
          <t>DC Water IP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6">
        <f>SUM(B7:M7)</f>
        <v/>
      </c>
    </row>
    <row r="8">
      <c r="A8" t="inlineStr">
        <is>
          <t>Events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6">
        <f>SUM(B8:M8)</f>
        <v/>
      </c>
    </row>
    <row r="9">
      <c r="A9" t="inlineStr">
        <is>
          <t>Cell Towers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6">
        <f>SUM(B9:M9)</f>
        <v/>
      </c>
    </row>
    <row r="10">
      <c r="A10" t="inlineStr">
        <is>
          <t>Interest Income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6">
        <f>SUM(B10:M10)</f>
        <v/>
      </c>
    </row>
    <row r="11">
      <c r="A11" t="inlineStr">
        <is>
          <t>Other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6">
        <f>SUM(B11:M11)</f>
        <v/>
      </c>
    </row>
    <row r="12">
      <c r="A12" s="5" t="inlineStr">
        <is>
          <t>TOTAL REVENUE</t>
        </is>
      </c>
      <c r="B12" s="8">
        <f>SUM(B4:B11)</f>
        <v/>
      </c>
      <c r="C12" s="8">
        <f>SUM(C4:C11)</f>
        <v/>
      </c>
      <c r="D12" s="8">
        <f>SUM(D4:D11)</f>
        <v/>
      </c>
      <c r="E12" s="8">
        <f>SUM(E4:E11)</f>
        <v/>
      </c>
      <c r="F12" s="8">
        <f>SUM(F4:F11)</f>
        <v/>
      </c>
      <c r="G12" s="8">
        <f>SUM(G4:G11)</f>
        <v/>
      </c>
      <c r="H12" s="8">
        <f>SUM(H4:H11)</f>
        <v/>
      </c>
      <c r="I12" s="8">
        <f>SUM(I4:I11)</f>
        <v/>
      </c>
      <c r="J12" s="8">
        <f>SUM(J4:J11)</f>
        <v/>
      </c>
      <c r="K12" s="8">
        <f>SUM(K4:K11)</f>
        <v/>
      </c>
      <c r="L12" s="8">
        <f>SUM(L4:L11)</f>
        <v/>
      </c>
      <c r="M12" s="8">
        <f>SUM(M4:M11)</f>
        <v/>
      </c>
      <c r="N12" s="8">
        <f>SUM(N4:N11)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FY26 Budget Review &amp; Update Process</t>
        </is>
      </c>
    </row>
    <row r="3">
      <c r="A3" t="inlineStr"/>
      <c r="B3" t="inlineStr"/>
    </row>
    <row r="4">
      <c r="A4" s="13" t="inlineStr">
        <is>
          <t>BUDGET REVIEW SCHEDULE</t>
        </is>
      </c>
      <c r="B4" t="inlineStr"/>
    </row>
    <row r="5">
      <c r="A5" t="inlineStr"/>
      <c r="B5" t="inlineStr"/>
    </row>
    <row r="6">
      <c r="A6" s="14" t="inlineStr">
        <is>
          <t>Frequency</t>
        </is>
      </c>
      <c r="B6" s="14" t="inlineStr">
        <is>
          <t>Activity</t>
        </is>
      </c>
    </row>
    <row r="7">
      <c r="A7" t="inlineStr">
        <is>
          <t>Weekly</t>
        </is>
      </c>
      <c r="B7" t="inlineStr">
        <is>
          <t>Update YTD Actuals from QuickBooks P&amp;L by Class report</t>
        </is>
      </c>
    </row>
    <row r="8">
      <c r="A8" t="inlineStr">
        <is>
          <t>Weekly</t>
        </is>
      </c>
      <c r="B8" t="inlineStr">
        <is>
          <t>Review AR aging and update collection forecasts</t>
        </is>
      </c>
    </row>
    <row r="9">
      <c r="A9" t="inlineStr">
        <is>
          <t>Monthly</t>
        </is>
      </c>
      <c r="B9" t="inlineStr">
        <is>
          <t>Full variance analysis - compare actual vs budget by class</t>
        </is>
      </c>
    </row>
    <row r="10">
      <c r="A10" t="inlineStr">
        <is>
          <t>Monthly</t>
        </is>
      </c>
      <c r="B10" t="inlineStr">
        <is>
          <t>Update full-year forecast based on trends</t>
        </is>
      </c>
    </row>
    <row r="11">
      <c r="A11" t="inlineStr">
        <is>
          <t>Monthly</t>
        </is>
      </c>
      <c r="B11" t="inlineStr">
        <is>
          <t>Department heads review their class budgets</t>
        </is>
      </c>
    </row>
    <row r="12">
      <c r="A12" t="inlineStr">
        <is>
          <t>Quarterly</t>
        </is>
      </c>
      <c r="B12" t="inlineStr">
        <is>
          <t>Board presentation with variance explanations</t>
        </is>
      </c>
    </row>
    <row r="13">
      <c r="A13" t="inlineStr">
        <is>
          <t>Quarterly</t>
        </is>
      </c>
      <c r="B13" t="inlineStr">
        <is>
          <t>Revise annual forecast if variance &gt;10%</t>
        </is>
      </c>
    </row>
    <row r="14">
      <c r="A14" t="inlineStr"/>
      <c r="B14" t="inlineStr"/>
    </row>
    <row r="15">
      <c r="A15" s="13" t="inlineStr">
        <is>
          <t>DATA SOURCES</t>
        </is>
      </c>
      <c r="B15" t="inlineStr"/>
    </row>
    <row r="16">
      <c r="A16" t="inlineStr"/>
      <c r="B16" t="inlineStr"/>
    </row>
    <row r="17">
      <c r="A17" s="14" t="inlineStr">
        <is>
          <t>Report</t>
        </is>
      </c>
      <c r="B17" s="14" t="inlineStr">
        <is>
          <t>Source</t>
        </is>
      </c>
    </row>
    <row r="18">
      <c r="A18" t="inlineStr">
        <is>
          <t>P&amp;L by Class</t>
        </is>
      </c>
      <c r="B18" t="inlineStr">
        <is>
          <t>QuickBooks &gt; Reports &gt; Profit and Loss by Class</t>
        </is>
      </c>
    </row>
    <row r="19">
      <c r="A19" t="inlineStr">
        <is>
          <t>AR Aging</t>
        </is>
      </c>
      <c r="B19" t="inlineStr">
        <is>
          <t>QuickBooks &gt; Reports &gt; A/R Aging Summary</t>
        </is>
      </c>
    </row>
    <row r="20">
      <c r="A20" t="inlineStr">
        <is>
          <t>Cash Position</t>
        </is>
      </c>
      <c r="B20" t="inlineStr">
        <is>
          <t>QuickBooks &gt; Reports &gt; Balance Sheet</t>
        </is>
      </c>
    </row>
    <row r="21">
      <c r="A21" t="inlineStr">
        <is>
          <t>REC Revenue</t>
        </is>
      </c>
      <c r="B21" t="inlineStr">
        <is>
          <t>PJM GATS system / Broker statements</t>
        </is>
      </c>
    </row>
    <row r="22">
      <c r="A22" t="inlineStr">
        <is>
          <t>Event Revenue</t>
        </is>
      </c>
      <c r="B22" t="inlineStr">
        <is>
          <t>HubSpot CRM + Invoicing system</t>
        </is>
      </c>
    </row>
    <row r="23">
      <c r="A23" t="inlineStr"/>
      <c r="B23" t="inlineStr"/>
    </row>
    <row r="24">
      <c r="A24" s="13" t="inlineStr">
        <is>
          <t>VARIANCE THRESHOLDS</t>
        </is>
      </c>
      <c r="B24" t="inlineStr"/>
    </row>
    <row r="25">
      <c r="A25" t="inlineStr"/>
      <c r="B25" t="inlineStr"/>
    </row>
    <row r="26">
      <c r="A26" s="14" t="inlineStr">
        <is>
          <t>Threshold</t>
        </is>
      </c>
      <c r="B26" s="14" t="inlineStr">
        <is>
          <t>Action Required</t>
        </is>
      </c>
    </row>
    <row r="27">
      <c r="A27" t="inlineStr">
        <is>
          <t>&gt;5% under budget</t>
        </is>
      </c>
      <c r="B27" t="inlineStr">
        <is>
          <t>Monitor - note in monthly review</t>
        </is>
      </c>
    </row>
    <row r="28">
      <c r="A28" t="inlineStr">
        <is>
          <t>&gt;10% under budget</t>
        </is>
      </c>
      <c r="B28" t="inlineStr">
        <is>
          <t>Investigate root cause, document findings</t>
        </is>
      </c>
    </row>
    <row r="29">
      <c r="A29" t="inlineStr">
        <is>
          <t>&gt;15% under budget</t>
        </is>
      </c>
      <c r="B29" t="inlineStr">
        <is>
          <t>Develop corrective action plan</t>
        </is>
      </c>
    </row>
    <row r="30">
      <c r="A30" t="inlineStr">
        <is>
          <t>&gt;20% under budget</t>
        </is>
      </c>
      <c r="B30" t="inlineStr">
        <is>
          <t>Escalate to leadership, revise forecast</t>
        </is>
      </c>
    </row>
    <row r="31">
      <c r="A31" t="inlineStr"/>
      <c r="B31" t="inlineStr"/>
    </row>
    <row r="32">
      <c r="A32" s="13" t="inlineStr">
        <is>
          <t>BUDGET OWNERS BY CLASS</t>
        </is>
      </c>
      <c r="B32" t="inlineStr"/>
    </row>
    <row r="33">
      <c r="A33" t="inlineStr"/>
      <c r="B33" t="inlineStr"/>
    </row>
    <row r="34">
      <c r="A34" s="14" t="inlineStr">
        <is>
          <t>Class</t>
        </is>
      </c>
      <c r="B34" s="14" t="inlineStr">
        <is>
          <t>Owner</t>
        </is>
      </c>
    </row>
    <row r="35">
      <c r="A35" t="inlineStr">
        <is>
          <t>Administration</t>
        </is>
      </c>
      <c r="B35" t="inlineStr">
        <is>
          <t>CFO / Controller</t>
        </is>
      </c>
    </row>
    <row r="36">
      <c r="A36" t="inlineStr">
        <is>
          <t>Bloom Marketing</t>
        </is>
      </c>
      <c r="B36" t="inlineStr">
        <is>
          <t>VP Operations</t>
        </is>
      </c>
    </row>
    <row r="37">
      <c r="A37" t="inlineStr">
        <is>
          <t>Bloom Sales</t>
        </is>
      </c>
      <c r="B37" t="inlineStr">
        <is>
          <t>Sales Manager</t>
        </is>
      </c>
    </row>
    <row r="38">
      <c r="A38" t="inlineStr">
        <is>
          <t>Cell Towers</t>
        </is>
      </c>
      <c r="B38" t="inlineStr">
        <is>
          <t>CFO (passive income)</t>
        </is>
      </c>
    </row>
    <row r="39">
      <c r="A39" t="inlineStr">
        <is>
          <t>DC Water Innovations</t>
        </is>
      </c>
      <c r="B39" t="inlineStr">
        <is>
          <t>CEO</t>
        </is>
      </c>
    </row>
    <row r="40">
      <c r="A40" t="inlineStr">
        <is>
          <t>Events</t>
        </is>
      </c>
      <c r="B40" t="inlineStr">
        <is>
          <t>Events Coordinator (Raul Buddle)</t>
        </is>
      </c>
    </row>
    <row r="41">
      <c r="A41" t="inlineStr">
        <is>
          <t>RECs</t>
        </is>
      </c>
      <c r="B41" t="inlineStr">
        <is>
          <t>CFO / Broker liaison</t>
        </is>
      </c>
    </row>
    <row r="42">
      <c r="A42" t="inlineStr">
        <is>
          <t>Store</t>
        </is>
      </c>
      <c r="B42" t="inlineStr">
        <is>
          <t>Marketing Manager</t>
        </is>
      </c>
    </row>
    <row r="43">
      <c r="A43" t="inlineStr"/>
      <c r="B43" t="inlineStr"/>
    </row>
    <row r="44">
      <c r="A44" s="13" t="inlineStr">
        <is>
          <t>REVISION APPROVAL PROCESS</t>
        </is>
      </c>
      <c r="B44" t="inlineStr"/>
    </row>
    <row r="45">
      <c r="A45" t="inlineStr"/>
      <c r="B45" t="inlineStr"/>
    </row>
    <row r="46">
      <c r="A46" s="14" t="inlineStr">
        <is>
          <t>Change Amount</t>
        </is>
      </c>
      <c r="B46" s="14" t="inlineStr">
        <is>
          <t>Approval Required</t>
        </is>
      </c>
    </row>
    <row r="47">
      <c r="A47" t="inlineStr">
        <is>
          <t>&lt;$10,000</t>
        </is>
      </c>
      <c r="B47" t="inlineStr">
        <is>
          <t>Department Head</t>
        </is>
      </c>
    </row>
    <row r="48">
      <c r="A48" t="inlineStr">
        <is>
          <t>$10,000 - $50,000</t>
        </is>
      </c>
      <c r="B48" t="inlineStr">
        <is>
          <t>CFO approval</t>
        </is>
      </c>
    </row>
    <row r="49">
      <c r="A49" t="inlineStr">
        <is>
          <t>$50,000 - $100,000</t>
        </is>
      </c>
      <c r="B49" t="inlineStr">
        <is>
          <t>CEO approval</t>
        </is>
      </c>
    </row>
    <row r="50">
      <c r="A50" t="inlineStr">
        <is>
          <t>&gt;$100,000</t>
        </is>
      </c>
      <c r="B50" t="inlineStr">
        <is>
          <t>Board approval</t>
        </is>
      </c>
    </row>
    <row r="51">
      <c r="A51" t="inlineStr"/>
      <c r="B51" t="inlineStr"/>
    </row>
    <row r="52">
      <c r="A52" s="13" t="inlineStr">
        <is>
          <t>KEY CONTACTS</t>
        </is>
      </c>
      <c r="B52" t="inlineStr"/>
    </row>
    <row r="53">
      <c r="A53" t="inlineStr"/>
      <c r="B53" t="inlineStr"/>
    </row>
    <row r="54">
      <c r="A54" s="14" t="inlineStr">
        <is>
          <t>Role</t>
        </is>
      </c>
      <c r="B54" s="14" t="inlineStr">
        <is>
          <t>Responsibility</t>
        </is>
      </c>
    </row>
    <row r="55">
      <c r="A55" t="inlineStr">
        <is>
          <t>Adam Lawrence</t>
        </is>
      </c>
      <c r="B55" t="inlineStr">
        <is>
          <t>Weekly data entry, AR tracking, invoice processing</t>
        </is>
      </c>
    </row>
    <row r="56">
      <c r="A56" t="inlineStr">
        <is>
          <t>Raul Buddle</t>
        </is>
      </c>
      <c r="B56" t="inlineStr">
        <is>
          <t>Events revenue tracking, pipeline updates</t>
        </is>
      </c>
    </row>
    <row r="57">
      <c r="A57" t="inlineStr">
        <is>
          <t>Controller</t>
        </is>
      </c>
      <c r="B57" t="inlineStr">
        <is>
          <t>Monthly close, variance analysis, board reporting</t>
        </is>
      </c>
    </row>
    <row r="58">
      <c r="A58" t="inlineStr">
        <is>
          <t>CEO</t>
        </is>
      </c>
      <c r="B58" t="inlineStr">
        <is>
          <t>Strategic decisions, major variance approvals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0" customWidth="1" min="3" max="3"/>
  </cols>
  <sheetData>
    <row r="1">
      <c r="A1" s="1" t="inlineStr">
        <is>
          <t>FY26 Budget Assumptions</t>
        </is>
      </c>
    </row>
    <row r="3">
      <c r="A3" t="inlineStr"/>
      <c r="B3" t="inlineStr"/>
    </row>
    <row r="4">
      <c r="A4" s="13" t="inlineStr">
        <is>
          <t>REVENUE ASSUMPTIONS</t>
        </is>
      </c>
      <c r="B4" t="inlineStr"/>
    </row>
    <row r="5">
      <c r="A5" t="inlineStr"/>
      <c r="B5" t="inlineStr"/>
    </row>
    <row r="6">
      <c r="A6" s="14" t="inlineStr">
        <is>
          <t>Category</t>
        </is>
      </c>
      <c r="B6" t="inlineStr">
        <is>
          <t>Assumption</t>
        </is>
      </c>
      <c r="C6" t="inlineStr">
        <is>
          <t>Source/Basis</t>
        </is>
      </c>
    </row>
    <row r="7">
      <c r="A7" t="inlineStr">
        <is>
          <t>RECs</t>
        </is>
      </c>
      <c r="B7" t="inlineStr">
        <is>
          <t>4,360,650 base + 500,000 Solar RECs</t>
        </is>
      </c>
      <c r="C7" t="inlineStr">
        <is>
          <t>Historical sales + Q1 FY26 Solar performance</t>
        </is>
      </c>
    </row>
    <row r="8">
      <c r="A8" t="inlineStr">
        <is>
          <t>Bloom Marketing Fee</t>
        </is>
      </c>
      <c r="B8" t="inlineStr">
        <is>
          <t>Based on DC Water contract terms</t>
        </is>
      </c>
      <c r="C8" t="inlineStr">
        <is>
          <t>Existing contract</t>
        </is>
      </c>
    </row>
    <row r="9">
      <c r="A9" t="inlineStr">
        <is>
          <t>Bloom Hauling</t>
        </is>
      </c>
      <c r="B9" t="inlineStr">
        <is>
          <t>1,501,808 per contract</t>
        </is>
      </c>
      <c r="C9" t="inlineStr">
        <is>
          <t>DC Water contract</t>
        </is>
      </c>
    </row>
    <row r="10">
      <c r="A10" t="inlineStr">
        <is>
          <t>Land App Reimbursement</t>
        </is>
      </c>
      <c r="B10" t="inlineStr">
        <is>
          <t>749,000 annual</t>
        </is>
      </c>
      <c r="C10" t="inlineStr">
        <is>
          <t>Historical + contracts</t>
        </is>
      </c>
    </row>
    <row r="11">
      <c r="A11" t="inlineStr">
        <is>
          <t>Events</t>
        </is>
      </c>
      <c r="B11" t="inlineStr">
        <is>
          <t>52 events @ $13,385 average</t>
        </is>
      </c>
      <c r="C11" t="inlineStr">
        <is>
          <t>Q1 performance adjusted</t>
        </is>
      </c>
    </row>
    <row r="12">
      <c r="A12" t="inlineStr">
        <is>
          <t>Cell Towers</t>
        </is>
      </c>
      <c r="B12" t="inlineStr">
        <is>
          <t>179,972 annual</t>
        </is>
      </c>
      <c r="C12" t="inlineStr">
        <is>
          <t>Existing lease agreements</t>
        </is>
      </c>
    </row>
    <row r="13">
      <c r="A13" t="inlineStr">
        <is>
          <t>Interest Income</t>
        </is>
      </c>
      <c r="B13" t="inlineStr">
        <is>
          <t>350,000 @ 5.5% yield on $6.4M average cash</t>
        </is>
      </c>
      <c r="C13" t="inlineStr">
        <is>
          <t>Current bank rates</t>
        </is>
      </c>
    </row>
    <row r="14">
      <c r="A14" t="inlineStr"/>
      <c r="B14" t="inlineStr"/>
    </row>
    <row r="15">
      <c r="A15" s="13" t="inlineStr">
        <is>
          <t>EXPENSE ASSUMPTIONS</t>
        </is>
      </c>
      <c r="B15" t="inlineStr"/>
    </row>
    <row r="16">
      <c r="A16" t="inlineStr"/>
      <c r="B16" t="inlineStr"/>
    </row>
    <row r="17">
      <c r="A17" s="14" t="inlineStr">
        <is>
          <t>Category</t>
        </is>
      </c>
      <c r="B17" t="inlineStr">
        <is>
          <t>Assumption</t>
        </is>
      </c>
      <c r="C17" t="inlineStr">
        <is>
          <t>Source/Basis</t>
        </is>
      </c>
    </row>
    <row r="18">
      <c r="A18" t="inlineStr">
        <is>
          <t>Salaries</t>
        </is>
      </c>
      <c r="B18" t="inlineStr">
        <is>
          <t>3% increase from FY25</t>
        </is>
      </c>
      <c r="C18" t="inlineStr">
        <is>
          <t>Standard COLA</t>
        </is>
      </c>
    </row>
    <row r="19">
      <c r="A19" t="inlineStr">
        <is>
          <t>Fringe Benefits</t>
        </is>
      </c>
      <c r="B19" t="inlineStr">
        <is>
          <t>25% of salaries</t>
        </is>
      </c>
      <c r="C19" t="inlineStr">
        <is>
          <t>Historical ratio</t>
        </is>
      </c>
    </row>
    <row r="20">
      <c r="A20" t="inlineStr">
        <is>
          <t>Payroll Taxes</t>
        </is>
      </c>
      <c r="B20" t="inlineStr">
        <is>
          <t>10% of salaries</t>
        </is>
      </c>
      <c r="C20" t="inlineStr">
        <is>
          <t>FICA + unemployment</t>
        </is>
      </c>
    </row>
    <row r="21">
      <c r="A21" t="inlineStr">
        <is>
          <t>Hauling COGS</t>
        </is>
      </c>
      <c r="B21" t="inlineStr">
        <is>
          <t>~93% of Hauling revenue</t>
        </is>
      </c>
      <c r="C21" t="inlineStr">
        <is>
          <t>Historical margin</t>
        </is>
      </c>
    </row>
    <row r="22">
      <c r="A22" t="inlineStr">
        <is>
          <t>Land App Fees</t>
        </is>
      </c>
      <c r="B22" t="inlineStr">
        <is>
          <t>~53% of Land App revenue</t>
        </is>
      </c>
      <c r="C22" t="inlineStr">
        <is>
          <t>Contract terms</t>
        </is>
      </c>
    </row>
    <row r="23">
      <c r="A23" t="inlineStr">
        <is>
          <t>Professional Fees</t>
        </is>
      </c>
      <c r="B23" t="inlineStr">
        <is>
          <t>Based on contracts + estimates</t>
        </is>
      </c>
      <c r="C23" t="inlineStr">
        <is>
          <t>Vendor quotes</t>
        </is>
      </c>
    </row>
    <row r="24">
      <c r="A24" t="inlineStr"/>
      <c r="B24" t="inlineStr"/>
    </row>
    <row r="25">
      <c r="A25" s="13" t="inlineStr">
        <is>
          <t>KEY RISKS</t>
        </is>
      </c>
      <c r="B25" t="inlineStr"/>
    </row>
    <row r="26">
      <c r="A26" t="inlineStr"/>
      <c r="B26" t="inlineStr"/>
    </row>
    <row r="27">
      <c r="A27" s="14" t="inlineStr">
        <is>
          <t>Risk</t>
        </is>
      </c>
      <c r="B27" t="inlineStr">
        <is>
          <t>Impact</t>
        </is>
      </c>
      <c r="C27" t="inlineStr">
        <is>
          <t>Mitigation</t>
        </is>
      </c>
    </row>
    <row r="28">
      <c r="A28" t="inlineStr">
        <is>
          <t>REC price volatility</t>
        </is>
      </c>
      <c r="B28" t="inlineStr">
        <is>
          <t>Could affect $4.8M+ revenue</t>
        </is>
      </c>
      <c r="C28" t="inlineStr">
        <is>
          <t>Diversify timing of sales</t>
        </is>
      </c>
    </row>
    <row r="29">
      <c r="A29" t="inlineStr">
        <is>
          <t>AR collections</t>
        </is>
      </c>
      <c r="B29" t="inlineStr">
        <is>
          <t>$90K+ at risk (&gt;90 days)</t>
        </is>
      </c>
      <c r="C29" t="inlineStr">
        <is>
          <t>Collections campaign, new processes</t>
        </is>
      </c>
    </row>
    <row r="30">
      <c r="A30" t="inlineStr">
        <is>
          <t>Events underperformance</t>
        </is>
      </c>
      <c r="B30" t="inlineStr">
        <is>
          <t>Only 24% of Q1 target achieved</t>
        </is>
      </c>
      <c r="C30" t="inlineStr">
        <is>
          <t>Pipeline review, strategy refresh</t>
        </is>
      </c>
    </row>
    <row r="31">
      <c r="A31" t="inlineStr">
        <is>
          <t>Bloom Marketing losses</t>
        </is>
      </c>
      <c r="B31" t="inlineStr">
        <is>
          <t>$586K loss YTD</t>
        </is>
      </c>
      <c r="C31" t="inlineStr">
        <is>
          <t>Cost structure review by 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2026-01-19T20:36:33Z</dcterms:created>
  <dcterms:modified xmlns:dcterms="http://purl.org/dc/terms/" xmlns:xsi="http://www.w3.org/2001/XMLSchema-instance" xsi:type="dcterms:W3CDTF">2026-01-19T20:36:33Z</dcterms:modified>
</cp:coreProperties>
</file>