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800" yWindow="660" windowWidth="17440" windowHeight="17420" tabRatio="600" firstSheet="0" activeTab="0" autoFilterDateGrouping="1"/>
  </bookViews>
  <sheets>
    <sheet xmlns:r="http://schemas.openxmlformats.org/officeDocument/2006/relationships" name="Event Calculato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\$#,##0.00;\(\$#,##0.00\);&quot;-&quot;"/>
  </numFmts>
  <fonts count="15">
    <font>
      <name val="Calibri"/>
      <family val="2"/>
      <color theme="1"/>
      <sz val="11"/>
      <scheme val="minor"/>
    </font>
    <font>
      <name val="Calibri"/>
      <family val="2"/>
      <b val="1"/>
      <color rgb="FF1B3A5F"/>
      <sz val="18"/>
    </font>
    <font>
      <name val="Calibri"/>
      <family val="2"/>
      <i val="1"/>
      <color rgb="FF1B3A5F"/>
      <sz val="12"/>
    </font>
    <font>
      <name val="Calibri"/>
      <family val="2"/>
      <b val="1"/>
      <color rgb="FF1B3A5F"/>
      <sz val="12"/>
    </font>
    <font>
      <name val="Calibri"/>
      <family val="2"/>
      <b val="1"/>
      <color rgb="FF1B3A5F"/>
      <sz val="10"/>
    </font>
    <font>
      <name val="Calibri"/>
      <family val="2"/>
      <sz val="10"/>
    </font>
    <font>
      <name val="Calibri"/>
      <family val="2"/>
      <i val="1"/>
      <color rgb="FF666666"/>
      <sz val="9"/>
    </font>
    <font>
      <name val="Calibri"/>
      <family val="2"/>
      <b val="1"/>
      <sz val="10"/>
    </font>
    <font>
      <name val="Calibri"/>
      <family val="2"/>
      <sz val="9"/>
    </font>
    <font>
      <name val="Calibri"/>
      <family val="2"/>
      <b val="1"/>
      <color rgb="FFFFFFFF"/>
      <sz val="12"/>
    </font>
    <font>
      <name val="Calibri"/>
      <family val="2"/>
      <b val="1"/>
      <sz val="11"/>
    </font>
    <font>
      <name val="Calibri"/>
      <family val="2"/>
      <b val="1"/>
      <color rgb="FF1B3A5F"/>
      <sz val="14"/>
    </font>
    <font>
      <name val="Calibri"/>
      <family val="2"/>
      <b val="1"/>
      <sz val="14"/>
    </font>
    <font>
      <name val="Calibri"/>
      <family val="2"/>
      <i val="1"/>
      <color rgb="FF888888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E8EEF4"/>
        <bgColor rgb="FFE8EEF4"/>
      </patternFill>
    </fill>
    <fill>
      <patternFill patternType="solid">
        <fgColor rgb="FFFDF6E3"/>
        <bgColor rgb="FFFDF6E3"/>
      </patternFill>
    </fill>
    <fill>
      <patternFill patternType="solid">
        <fgColor rgb="FF1B3A5F"/>
        <bgColor rgb="FF1B3A5F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8" fillId="3" borderId="0" pivotButton="0" quotePrefix="0" xfId="0"/>
    <xf numFmtId="0" fontId="8" fillId="4" borderId="0" pivotButton="0" quotePrefix="0" xfId="0"/>
    <xf numFmtId="0" fontId="0" fillId="3" borderId="1" pivotButton="0" quotePrefix="0" xfId="0"/>
    <xf numFmtId="164" fontId="0" fillId="6" borderId="1" pivotButton="0" quotePrefix="0" xfId="0"/>
    <xf numFmtId="0" fontId="6" fillId="0" borderId="0" pivotButton="0" quotePrefix="0" xfId="0"/>
    <xf numFmtId="0" fontId="10" fillId="0" borderId="0" pivotButton="0" quotePrefix="0" xfId="0"/>
    <xf numFmtId="164" fontId="10" fillId="4" borderId="1" pivotButton="0" quotePrefix="0" xfId="0"/>
    <xf numFmtId="164" fontId="0" fillId="7" borderId="1" pivotButton="0" quotePrefix="0" xfId="0"/>
    <xf numFmtId="165" fontId="12" fillId="4" borderId="1" pivotButton="0" quotePrefix="0" xfId="0"/>
    <xf numFmtId="0" fontId="13" fillId="0" borderId="0" pivotButton="0" quotePrefix="0" xfId="0"/>
    <xf numFmtId="0" fontId="9" fillId="5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1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center"/>
    </xf>
    <xf numFmtId="0" fontId="14" fillId="5" borderId="0" applyAlignment="1" pivotButton="0" quotePrefix="0" xfId="0">
      <alignment horizontal="center"/>
    </xf>
    <xf numFmtId="0" fontId="14" fillId="0" borderId="0" pivotButton="0" quotePrefix="0" xfId="0"/>
    <xf numFmtId="0" fontId="0" fillId="9" borderId="1" pivotButton="0" quotePrefix="0" xfId="0"/>
    <xf numFmtId="0" fontId="0" fillId="9" borderId="0" pivotButton="0" quotePrefix="0" xfId="0"/>
    <xf numFmtId="0" fontId="0" fillId="8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8"/>
  <sheetViews>
    <sheetView tabSelected="1" topLeftCell="A7" workbookViewId="0">
      <selection activeCell="C14" sqref="C14"/>
    </sheetView>
  </sheetViews>
  <sheetFormatPr baseColWidth="10" defaultColWidth="8.83203125" defaultRowHeight="15"/>
  <cols>
    <col width="3" customWidth="1" style="16" min="1" max="1"/>
    <col width="34" customWidth="1" style="16" min="2" max="2"/>
    <col width="18" customWidth="1" style="16" min="3" max="4"/>
    <col width="3" customWidth="1" style="16" min="5" max="5"/>
    <col width="28" customWidth="1" style="16" min="6" max="6"/>
    <col width="15" customWidth="1" style="16" min="7" max="7"/>
  </cols>
  <sheetData>
    <row r="1" ht="24" customHeight="1" s="16">
      <c r="B1" s="17" t="inlineStr">
        <is>
          <t>HQO WATERSIDE EVENTS</t>
        </is>
      </c>
      <c r="F1" s="19" t="inlineStr">
        <is>
          <t>RATE REFERENCE</t>
        </is>
      </c>
    </row>
    <row r="2" ht="16" customHeight="1" s="16">
      <c r="B2" s="21" t="inlineStr">
        <is>
          <t>Event Cost Calculator</t>
        </is>
      </c>
      <c r="F2" s="1" t="inlineStr">
        <is>
          <t>SPACE RENTAL</t>
        </is>
      </c>
    </row>
    <row r="3">
      <c r="F3" s="2" t="inlineStr">
        <is>
          <t>Lobby/Patio</t>
        </is>
      </c>
      <c r="G3" s="3" t="inlineStr">
        <is>
          <t>$8,500</t>
        </is>
      </c>
    </row>
    <row r="4">
      <c r="B4" s="4" t="inlineStr">
        <is>
          <t>KEY:</t>
        </is>
      </c>
      <c r="C4" s="5" t="inlineStr">
        <is>
          <t>Light Blue = Input</t>
        </is>
      </c>
      <c r="D4" s="6" t="inlineStr">
        <is>
          <t>Gold = Totals</t>
        </is>
      </c>
      <c r="F4" s="2" t="inlineStr">
        <is>
          <t>Atrium/Boardroom</t>
        </is>
      </c>
      <c r="G4" s="3" t="inlineStr">
        <is>
          <t>$8,500</t>
        </is>
      </c>
    </row>
    <row r="5">
      <c r="F5" s="2" t="inlineStr">
        <is>
          <t>Roof</t>
        </is>
      </c>
      <c r="G5" s="3" t="inlineStr">
        <is>
          <t>$10,500</t>
        </is>
      </c>
    </row>
    <row r="6" ht="16" customHeight="1" s="16">
      <c r="B6" s="15" t="inlineStr">
        <is>
          <t>EVENT DETAILS</t>
        </is>
      </c>
      <c r="F6" s="2" t="inlineStr">
        <is>
          <t>Wedding Package (2 spaces)</t>
        </is>
      </c>
      <c r="G6" s="3" t="inlineStr">
        <is>
          <t>$15,000</t>
        </is>
      </c>
    </row>
    <row r="7">
      <c r="B7" t="inlineStr">
        <is>
          <t>Event Type</t>
        </is>
      </c>
      <c r="C7" s="7" t="inlineStr">
        <is>
          <t>Individual</t>
        </is>
      </c>
      <c r="F7" s="2" t="inlineStr">
        <is>
          <t>Additional Setup Hour</t>
        </is>
      </c>
      <c r="G7" s="3" t="inlineStr">
        <is>
          <t>$500/space</t>
        </is>
      </c>
    </row>
    <row r="8">
      <c r="B8" t="inlineStr">
        <is>
          <t>Number of Attendees</t>
        </is>
      </c>
      <c r="C8" s="7" t="n">
        <v>150</v>
      </c>
      <c r="F8" s="2" t="inlineStr">
        <is>
          <t>Additional Event Hour</t>
        </is>
      </c>
      <c r="G8" s="3" t="inlineStr">
        <is>
          <t>$1,000/space</t>
        </is>
      </c>
    </row>
    <row r="9">
      <c r="B9" t="inlineStr">
        <is>
          <t>Day of Week</t>
        </is>
      </c>
      <c r="C9" s="7" t="inlineStr">
        <is>
          <t>Weekend</t>
        </is>
      </c>
      <c r="F9" s="2" t="n"/>
      <c r="G9" s="3" t="n"/>
    </row>
    <row r="10">
      <c r="B10" t="inlineStr">
        <is>
          <t>Event Start Time</t>
        </is>
      </c>
      <c r="C10" s="7" t="inlineStr">
        <is>
          <t>After 5pm</t>
        </is>
      </c>
      <c r="F10" s="1" t="inlineStr">
        <is>
          <t>STAFFING</t>
        </is>
      </c>
    </row>
    <row r="11">
      <c r="B11" t="inlineStr">
        <is>
          <t>Event Duration (hours)</t>
        </is>
      </c>
      <c r="C11" s="7" t="n">
        <v>8</v>
      </c>
      <c r="F11" s="2" t="inlineStr">
        <is>
          <t>Event Captain</t>
        </is>
      </c>
      <c r="G11" s="3" t="inlineStr">
        <is>
          <t>$40/hr</t>
        </is>
      </c>
    </row>
    <row r="12">
      <c r="F12" s="2" t="inlineStr">
        <is>
          <t>Event Staff</t>
        </is>
      </c>
      <c r="G12" s="3" t="inlineStr">
        <is>
          <t>$25/hr</t>
        </is>
      </c>
    </row>
    <row r="13" ht="16" customHeight="1" s="16">
      <c r="B13" s="15" t="inlineStr">
        <is>
          <t>REVENUE</t>
        </is>
      </c>
      <c r="F13" s="2" t="n"/>
      <c r="G13" s="3" t="n"/>
    </row>
    <row r="14">
      <c r="B14" t="inlineStr">
        <is>
          <t>Rent Free Event?</t>
        </is>
      </c>
      <c r="C14" s="7" t="inlineStr">
        <is>
          <t>Yes</t>
        </is>
      </c>
      <c r="F14" s="1" t="inlineStr">
        <is>
          <t>SECURITY</t>
        </is>
      </c>
    </row>
    <row r="15">
      <c r="B15" t="inlineStr">
        <is>
          <t>Wedding Package? ($15,000)</t>
        </is>
      </c>
      <c r="C15" s="7" t="inlineStr">
        <is>
          <t>No</t>
        </is>
      </c>
      <c r="D15" s="8">
        <f>IF(C14="Yes",0,IF(C15="Yes",15000,0))</f>
        <v/>
      </c>
      <c r="F15" s="2" t="inlineStr">
        <is>
          <t>TLS Officer (Event)</t>
        </is>
      </c>
      <c r="G15" s="3" t="inlineStr">
        <is>
          <t>$41/hr (4hr min)</t>
        </is>
      </c>
    </row>
    <row r="16">
      <c r="B16" t="inlineStr">
        <is>
          <t>Lobby/Patio ($8,500)</t>
        </is>
      </c>
      <c r="C16" s="7" t="inlineStr">
        <is>
          <t>Yes</t>
        </is>
      </c>
      <c r="D16" s="8">
        <f>IF(C14="Yes",0,IF(C15="Yes",0,IF(C16="Yes",8500,0)))</f>
        <v/>
      </c>
      <c r="F16" s="2" t="inlineStr">
        <is>
          <t>TLS Supervisor (Event)</t>
        </is>
      </c>
      <c r="G16" s="3" t="inlineStr">
        <is>
          <t>$43/hr (4hr min)</t>
        </is>
      </c>
    </row>
    <row r="17">
      <c r="B17" t="inlineStr">
        <is>
          <t>Atrium/Boardroom ($8,500)</t>
        </is>
      </c>
      <c r="C17" s="7" t="inlineStr">
        <is>
          <t>No</t>
        </is>
      </c>
      <c r="D17" s="8">
        <f>IF(C14="Yes",0,IF(C15="Yes",0,IF(C17="Yes",8500,0)))</f>
        <v/>
      </c>
      <c r="F17" s="20" t="inlineStr">
        <is>
          <t>Allied Unarmed SPO (OT)</t>
        </is>
      </c>
      <c r="G17" t="inlineStr">
        <is>
          <t>$65.55/hr</t>
        </is>
      </c>
    </row>
    <row r="18">
      <c r="B18" t="inlineStr">
        <is>
          <t>Roof ($10,500)</t>
        </is>
      </c>
      <c r="C18" s="7" t="inlineStr">
        <is>
          <t>No</t>
        </is>
      </c>
      <c r="D18" s="8">
        <f>IF(C14="Yes",0,IF(C15="Yes",0,IF(C18="Yes",10500,0)))</f>
        <v/>
      </c>
      <c r="F18" s="20" t="inlineStr">
        <is>
          <t>Allied Armed Sup (OT)</t>
        </is>
      </c>
      <c r="G18" t="inlineStr">
        <is>
          <t>$72.65/hr</t>
        </is>
      </c>
    </row>
    <row r="19">
      <c r="B19" t="inlineStr">
        <is>
          <t>Additional Setup Hours ($500/hr)</t>
        </is>
      </c>
      <c r="C19" s="7" t="n">
        <v>2</v>
      </c>
      <c r="D19" s="8">
        <f>IF(C14="Yes",0,C19*500*IF(C15="Yes",2,COUNTIF(C16:C18,"Yes")))</f>
        <v/>
      </c>
      <c r="F19" s="20" t="inlineStr">
        <is>
          <t>Allied Armed SPO (OT)</t>
        </is>
      </c>
      <c r="G19" t="inlineStr">
        <is>
          <t>$73.49/hr</t>
        </is>
      </c>
    </row>
    <row r="20">
      <c r="B20" t="inlineStr">
        <is>
          <t>Additional Event Hours ($1,000/hr)</t>
        </is>
      </c>
      <c r="C20" s="7" t="n">
        <v>1</v>
      </c>
      <c r="D20" s="8">
        <f>IF(C14="Yes",0,C20*1000*IF(C15="Yes",2,COUNTIF(C16:C18,"Yes")))</f>
        <v/>
      </c>
      <c r="F20" s="2" t="n"/>
      <c r="G20" s="3" t="n"/>
    </row>
    <row r="21">
      <c r="B21" s="10" t="inlineStr">
        <is>
          <t>TOTAL REVENUE</t>
        </is>
      </c>
      <c r="D21" s="11">
        <f>SUM(D15:D20)</f>
        <v/>
      </c>
      <c r="F21" s="1" t="inlineStr">
        <is>
          <t>OTHER</t>
        </is>
      </c>
    </row>
    <row r="22">
      <c r="F22" s="2" t="inlineStr">
        <is>
          <t>FEMS Permit (101+ guests)</t>
        </is>
      </c>
      <c r="G22" s="3" t="inlineStr">
        <is>
          <t>$150/location</t>
        </is>
      </c>
    </row>
    <row r="23" ht="16" customHeight="1" s="16">
      <c r="B23" s="22" t="inlineStr">
        <is>
          <t>EXPENSES</t>
        </is>
      </c>
      <c r="F23" s="2" t="inlineStr">
        <is>
          <t>ALLN1 Cleaning</t>
        </is>
      </c>
      <c r="G23" s="3" t="inlineStr">
        <is>
          <t>$145/hr (75-150)</t>
        </is>
      </c>
    </row>
    <row r="24">
      <c r="B24" s="23" t="inlineStr">
        <is>
          <t>TLS Security (Event Crowd/Guest Management)</t>
        </is>
      </c>
      <c r="F24" s="2" t="inlineStr">
        <is>
          <t>Insurance (Wed/Indiv)</t>
        </is>
      </c>
      <c r="G24" s="3" t="inlineStr">
        <is>
          <t>$150-187</t>
        </is>
      </c>
    </row>
    <row r="25">
      <c r="B25" t="inlineStr">
        <is>
          <t>TLS Event Officers (#)</t>
        </is>
      </c>
      <c r="C25" s="24" t="n">
        <v>3</v>
      </c>
    </row>
    <row r="26">
      <c r="B26" t="inlineStr">
        <is>
          <t>TLS Officer Hours (4hr min)</t>
        </is>
      </c>
      <c r="C26" s="24" t="n">
        <v>8</v>
      </c>
      <c r="D26" s="12">
        <f>C25*MAX(C26,4)*41</f>
        <v/>
      </c>
    </row>
    <row r="27">
      <c r="B27" s="23" t="inlineStr">
        <is>
          <t>Allied Universal (DC Water - Required Posts)</t>
        </is>
      </c>
      <c r="C27" s="7" t="n"/>
    </row>
    <row r="28">
      <c r="B28" t="inlineStr">
        <is>
          <t>Loading Dock - Unarmed (#)</t>
        </is>
      </c>
      <c r="C28" s="24" t="n">
        <v>1</v>
      </c>
      <c r="D28" s="12" t="n"/>
    </row>
    <row r="29">
      <c r="B29" t="inlineStr">
        <is>
          <t>Loading Dock Hours ($65.55/hr)</t>
        </is>
      </c>
      <c r="C29" s="24" t="n">
        <v>8</v>
      </c>
      <c r="D29" s="12">
        <f>C28*C29*65.55</f>
        <v/>
      </c>
    </row>
    <row r="30">
      <c r="B30" t="inlineStr">
        <is>
          <t>Event Supervisor - Armed (#)</t>
        </is>
      </c>
      <c r="C30" s="24" t="n">
        <v>1</v>
      </c>
    </row>
    <row r="31">
      <c r="B31" t="inlineStr">
        <is>
          <t>Event Sup Hours ($72.65/hr)</t>
        </is>
      </c>
      <c r="C31" s="24" t="n">
        <v>8</v>
      </c>
      <c r="D31">
        <f>C30*C31*72.65</f>
        <v/>
      </c>
    </row>
    <row r="32">
      <c r="B32" t="inlineStr">
        <is>
          <t>HQO Main Gate - Armed Sup (#)</t>
        </is>
      </c>
      <c r="C32" s="24" t="n">
        <v>1</v>
      </c>
      <c r="D32" s="12" t="n"/>
    </row>
    <row r="33">
      <c r="B33" t="inlineStr">
        <is>
          <t>Main Gate Hours ($72.65/hr)</t>
        </is>
      </c>
      <c r="C33" s="24" t="n">
        <v>8</v>
      </c>
      <c r="D33" s="12">
        <f>C32*C33*72.65</f>
        <v/>
      </c>
    </row>
    <row r="34">
      <c r="B34" t="inlineStr">
        <is>
          <t>Event Captain Hours ($40/hr)</t>
        </is>
      </c>
      <c r="C34" s="7">
        <f>C11</f>
        <v/>
      </c>
      <c r="D34" s="12">
        <f>C34*40</f>
        <v/>
      </c>
    </row>
    <row r="35">
      <c r="B35" t="inlineStr">
        <is>
          <t>Event Staff Needed?</t>
        </is>
      </c>
      <c r="C35" s="24" t="inlineStr">
        <is>
          <t>Yes</t>
        </is>
      </c>
    </row>
    <row r="36">
      <c r="B36" t="inlineStr">
        <is>
          <t>Event Staff (#)</t>
        </is>
      </c>
      <c r="C36" s="24" t="n">
        <v>2</v>
      </c>
      <c r="D36" s="12">
        <f>IF(C35="Yes",C36,0)</f>
        <v/>
      </c>
    </row>
    <row r="37">
      <c r="B37" t="inlineStr">
        <is>
          <t>Event Staff Hours ($25/hr)</t>
        </is>
      </c>
      <c r="C37" s="24" t="n">
        <v>6</v>
      </c>
      <c r="D37" s="12">
        <f>IF(C35="Yes",C36*C37*25,0)</f>
        <v/>
      </c>
    </row>
    <row r="38">
      <c r="B38" t="inlineStr">
        <is>
          <t>FEMS Permit ($150/location)</t>
        </is>
      </c>
      <c r="C38" s="7">
        <f>IF(C8&gt;100,"Yes","No")</f>
        <v/>
      </c>
      <c r="D38" s="12">
        <f>IF(C38="Yes",150*IF(C15="Yes",2,1),0)</f>
        <v/>
      </c>
    </row>
    <row r="39">
      <c r="B39" s="10" t="inlineStr">
        <is>
          <t>ALLN1 Cleaning (~$145/hr + $100)</t>
        </is>
      </c>
      <c r="C39" s="25" t="n">
        <v>6</v>
      </c>
      <c r="D39" s="11">
        <f>C39*145+100</f>
        <v/>
      </c>
    </row>
    <row r="40">
      <c r="B40" t="inlineStr">
        <is>
          <t>Valet Needed?</t>
        </is>
      </c>
      <c r="C40" s="25" t="inlineStr">
        <is>
          <t>No</t>
        </is>
      </c>
    </row>
    <row r="41" ht="19" customHeight="1" s="16">
      <c r="B41" s="18" t="inlineStr">
        <is>
          <t>Valet Cost</t>
        </is>
      </c>
      <c r="C41" s="25" t="n">
        <v>0</v>
      </c>
      <c r="D41" s="13">
        <f>IF(C40="Yes",C41,0)</f>
        <v/>
      </c>
    </row>
    <row r="42">
      <c r="B42" t="inlineStr">
        <is>
          <t>Insurance ($150-187)</t>
        </is>
      </c>
      <c r="C42">
        <f>IF(OR(C7="Wedding",C7="Individual"),"Yes","No")</f>
        <v/>
      </c>
      <c r="D42">
        <f>IF(C42="Yes",IF(C8&gt;=150,187,150),0)</f>
        <v/>
      </c>
    </row>
    <row r="43">
      <c r="B43" s="14" t="inlineStr">
        <is>
          <t>Miscellaneous Expenses</t>
        </is>
      </c>
      <c r="C43" s="25" t="n">
        <v>0</v>
      </c>
      <c r="D43">
        <f>C43</f>
        <v/>
      </c>
    </row>
    <row r="44">
      <c r="B44" s="23" t="inlineStr">
        <is>
          <t>TOTAL EXPENSES</t>
        </is>
      </c>
      <c r="D44" s="26">
        <f>D26+D29+D31+D33+D34+D37+D38+D39+D41+D42+D43</f>
        <v/>
      </c>
    </row>
    <row r="46">
      <c r="B46" s="23" t="inlineStr">
        <is>
          <t>NET INCOME</t>
        </is>
      </c>
      <c r="D46" s="26">
        <f>D21-D44</f>
        <v/>
      </c>
    </row>
    <row r="48">
      <c r="B48" t="inlineStr">
        <is>
          <t>HQO Waterside Events | DC Water Headquarters</t>
        </is>
      </c>
    </row>
  </sheetData>
  <mergeCells count="5">
    <mergeCell ref="B1:D1"/>
    <mergeCell ref="B13:D13"/>
    <mergeCell ref="F1:G1"/>
    <mergeCell ref="B6:D6"/>
    <mergeCell ref="B2:D2"/>
  </mergeCells>
  <dataValidations count="4">
    <dataValidation sqref="C14 C15 C16 C17 C18 C30 C35" showDropDown="0" showInputMessage="0" showErrorMessage="0" allowBlank="0" type="list">
      <formula1>"Yes,No"</formula1>
    </dataValidation>
    <dataValidation sqref="C7" showDropDown="0" showInputMessage="0" showErrorMessage="0" allowBlank="0" type="list">
      <formula1>"Corporate,Wedding,Individual,Non-Profit"</formula1>
    </dataValidation>
    <dataValidation sqref="C9" showDropDown="0" showInputMessage="0" showErrorMessage="0" allowBlank="0" type="list">
      <formula1>"Weekday,Weekend"</formula1>
    </dataValidation>
    <dataValidation sqref="C10" showDropDown="0" showInputMessage="0" showErrorMessage="0" allowBlank="0" type="list">
      <formula1>"Before 5pm,After 5pm"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2026-01-22T22:59:15Z</dcterms:created>
  <dcterms:modified xmlns:dcterms="http://purl.org/dc/terms/" xmlns:xsi="http://www.w3.org/2001/XMLSchema-instance" xsi:type="dcterms:W3CDTF">2026-01-27T02:02:01Z</dcterms:modified>
  <cp:lastModifiedBy>Lovesha Graham</cp:lastModifiedBy>
</cp:coreProperties>
</file>